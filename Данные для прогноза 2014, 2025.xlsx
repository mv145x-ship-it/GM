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Универ\Диплом\1\Данные для гравитационной модели\"/>
    </mc:Choice>
  </mc:AlternateContent>
  <xr:revisionPtr revIDLastSave="0" documentId="13_ncr:1_{E65D1EF9-51EB-4BAE-A2D1-D21A2BD14AA2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расчёты" sheetId="8" state="hidden" r:id="rId1"/>
    <sheet name="расчёт по 2014 году" sheetId="9" r:id="rId2"/>
    <sheet name="итог расчёта" sheetId="12" r:id="rId3"/>
    <sheet name="для 8 модели" sheetId="13" r:id="rId4"/>
    <sheet name="Лист6" sheetId="14" state="hidden" r:id="rId5"/>
  </sheets>
  <definedNames>
    <definedName name="_xlnm._FilterDatabase" localSheetId="3" hidden="1">'для 8 модели'!$A$1:$I$32</definedName>
    <definedName name="_xlnm._FilterDatabase" localSheetId="1" hidden="1">'расчёт по 2014 году'!$A$1:$J$63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2" l="1"/>
  <c r="I5" i="9"/>
  <c r="D3" i="12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2" i="13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I63" i="9"/>
  <c r="I61" i="9"/>
  <c r="I59" i="9"/>
  <c r="I57" i="9"/>
  <c r="I55" i="9"/>
  <c r="I53" i="9"/>
  <c r="I51" i="9"/>
  <c r="I49" i="9"/>
  <c r="I47" i="9"/>
  <c r="I45" i="9"/>
  <c r="I43" i="9"/>
  <c r="I41" i="9"/>
  <c r="I39" i="9"/>
  <c r="I37" i="9"/>
  <c r="I35" i="9"/>
  <c r="I33" i="9"/>
  <c r="I31" i="9"/>
  <c r="I29" i="9"/>
  <c r="I27" i="9"/>
  <c r="I25" i="9"/>
  <c r="I23" i="9"/>
  <c r="I21" i="9"/>
  <c r="I19" i="9"/>
  <c r="I17" i="9"/>
  <c r="I15" i="9"/>
  <c r="I13" i="9"/>
  <c r="I11" i="9"/>
  <c r="I9" i="9"/>
  <c r="I7" i="9"/>
  <c r="I3" i="9"/>
  <c r="I26" i="8"/>
  <c r="I21" i="8"/>
  <c r="K21" i="8"/>
  <c r="I19" i="8"/>
  <c r="K19" i="8" s="1"/>
</calcChain>
</file>

<file path=xl/sharedStrings.xml><?xml version="1.0" encoding="utf-8"?>
<sst xmlns="http://schemas.openxmlformats.org/spreadsheetml/2006/main" count="482" uniqueCount="78">
  <si>
    <t>Rik</t>
  </si>
  <si>
    <t>IK</t>
  </si>
  <si>
    <t>Year</t>
  </si>
  <si>
    <t>Ci</t>
  </si>
  <si>
    <t>Сk</t>
  </si>
  <si>
    <t>Russian Federation</t>
  </si>
  <si>
    <t>United States</t>
  </si>
  <si>
    <t xml:space="preserve">Yik 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</si>
  <si>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</si>
  <si>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</si>
  <si>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</si>
  <si>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</si>
  <si>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</si>
  <si>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</si>
  <si>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</si>
  <si>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</si>
  <si>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</si>
  <si>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</si>
  <si>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</si>
  <si>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</si>
  <si>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</si>
  <si>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</si>
  <si>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</si>
  <si>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Xi vvp</t>
  </si>
  <si>
    <t>Xk vvp</t>
  </si>
  <si>
    <t>2024</t>
  </si>
  <si>
    <t>возможое значение</t>
  </si>
  <si>
    <t>разница с реальным</t>
  </si>
  <si>
    <t>2023</t>
  </si>
  <si>
    <t>для модели с лагом</t>
  </si>
  <si>
    <t>Saudi Arabia</t>
  </si>
  <si>
    <t>South Africa</t>
  </si>
  <si>
    <t>Turkey</t>
  </si>
  <si>
    <t>Ukraine</t>
  </si>
  <si>
    <t>United Arab Emirates</t>
  </si>
  <si>
    <t>United Kingdom</t>
  </si>
  <si>
    <t>Azerbaijan</t>
  </si>
  <si>
    <t>Georgia</t>
  </si>
  <si>
    <t>Latvia</t>
  </si>
  <si>
    <t>с лагом по 2022 год</t>
  </si>
  <si>
    <t>Argentina</t>
  </si>
  <si>
    <t>Australia</t>
  </si>
  <si>
    <t>Belarus</t>
  </si>
  <si>
    <t>Brazil</t>
  </si>
  <si>
    <t>Canada</t>
  </si>
  <si>
    <t>China</t>
  </si>
  <si>
    <t>Egypt</t>
  </si>
  <si>
    <t>Estonia</t>
  </si>
  <si>
    <t>Finland</t>
  </si>
  <si>
    <t>France</t>
  </si>
  <si>
    <t>Germany</t>
  </si>
  <si>
    <t>India</t>
  </si>
  <si>
    <t>Indonesia</t>
  </si>
  <si>
    <t>Italy</t>
  </si>
  <si>
    <t>Japan</t>
  </si>
  <si>
    <t>Kazakhstan</t>
  </si>
  <si>
    <t>Korea, Rep.</t>
  </si>
  <si>
    <t>Lithuania</t>
  </si>
  <si>
    <t>Mexico</t>
  </si>
  <si>
    <t>Norway</t>
  </si>
  <si>
    <t>Poland</t>
  </si>
  <si>
    <t xml:space="preserve"> </t>
  </si>
  <si>
    <t>Реальное значение</t>
  </si>
  <si>
    <t>Рассчитанное значение</t>
  </si>
  <si>
    <t>vvpi</t>
  </si>
  <si>
    <t>vvpk</t>
  </si>
  <si>
    <t>D1sanctions</t>
  </si>
  <si>
    <t>D2 border</t>
  </si>
  <si>
    <t>D3 EU</t>
  </si>
  <si>
    <t>D4 BRICS</t>
  </si>
  <si>
    <t>D5 NATO</t>
  </si>
  <si>
    <t>D6 sanct22</t>
  </si>
  <si>
    <t>в долларах 2024</t>
  </si>
  <si>
    <t>в долларах 2025</t>
  </si>
  <si>
    <t>прогноз 2025</t>
  </si>
  <si>
    <t>возможное значение 2024</t>
  </si>
  <si>
    <t>реальное значение 2024</t>
  </si>
  <si>
    <t>Разница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</si>
</sst>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31"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11" fontId="2" fillId="0" borderId="0" xfId="0" applyNumberFormat="1" applyFont="1" applyAlignment="1">
      <alignment horizontal="right" vertical="center"/>
    </xf>
    <xf numFmtId="4" fontId="0" fillId="0" borderId="0" xfId="0" applyNumberFormat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/>
    <xf numFmtId="0" fontId="4" fillId="2" borderId="1" xfId="0" applyFont="1" applyFill="1" applyBorder="1"/>
    <xf numFmtId="0" fontId="1" fillId="0" borderId="0" xfId="1"/>
    <xf numFmtId="0" fontId="5" fillId="0" borderId="1" xfId="2" applyBorder="1"/>
    <xf numFmtId="0" fontId="5" fillId="0" borderId="0" xfId="2"/>
    <xf numFmtId="0" fontId="0" fillId="0" borderId="3" xfId="0" applyFill="1" applyBorder="1" applyAlignment="1">
      <alignment horizontal="left" vertical="center" wrapText="1"/>
    </xf>
    <xf numFmtId="0" fontId="0" fillId="0" borderId="1" xfId="0" applyFill="1" applyBorder="1"/>
    <xf numFmtId="0" fontId="1" fillId="0" borderId="0" xfId="1" applyFill="1"/>
    <xf numFmtId="0" fontId="5" fillId="0" borderId="1" xfId="2" applyFill="1" applyBorder="1"/>
    <xf numFmtId="0" fontId="4" fillId="0" borderId="1" xfId="2" applyFont="1" applyFill="1" applyBorder="1"/>
    <xf numFmtId="0" fontId="4" fillId="0" borderId="2" xfId="2" applyFont="1" applyFill="1" applyBorder="1"/>
    <xf numFmtId="0" fontId="0" fillId="0" borderId="0" xfId="0" applyFill="1"/>
    <xf numFmtId="0" fontId="0" fillId="0" borderId="1" xfId="0" applyFill="1" applyBorder="1" applyAlignment="1">
      <alignment vertical="center"/>
    </xf>
    <xf numFmtId="0" fontId="4" fillId="0" borderId="1" xfId="0" applyFont="1" applyFill="1" applyBorder="1"/>
  </cellXfs>
  <cellStyles count="3">
    <cellStyle name="Обычный" xfId="0" builtinId="0"/>
    <cellStyle name="Обычный 2" xfId="2" xr:uid="{79C2A677-C527-4506-B045-3ED159434857}"/>
    <cellStyle name="Обычный 3" xfId="1" xr:uid="{E6DCBC52-DAE1-4EEC-9B38-0B55E58690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93117-0A90-4071-9567-9B5E43F2C2B1}">
  <dimension ref="A1:Q27"/>
  <sheetViews>
    <sheetView topLeftCell="A6" workbookViewId="0">
      <selection activeCell="J14" sqref="J14"/>
    </sheetView>
  </sheetViews>
  <sheetFormatPr defaultRowHeight="14.4" x14ac:dyDescent="0.3"/>
  <cols>
    <col min="4" max="4" width="15.5546875" bestFit="1" customWidth="1"/>
    <col min="5" max="5" width="12" bestFit="1" customWidth="1"/>
    <col min="12" max="12" width="48.33203125" bestFit="1" customWidth="1"/>
    <col min="13" max="13" width="15.44140625" bestFit="1" customWidth="1"/>
    <col min="14" max="14" width="12.88671875" bestFit="1" customWidth="1"/>
    <col min="15" max="15" width="23.33203125" bestFit="1" customWidth="1"/>
    <col min="16" max="16" width="12" bestFit="1" customWidth="1"/>
    <col min="17" max="17" width="4" bestFit="1" customWidth="1"/>
  </cols>
  <sheetData>
    <row r="1" spans="1:17" ht="15.6" x14ac:dyDescent="0.3">
      <c r="A1" s="1" t="s">
        <v>3</v>
      </c>
      <c r="B1" s="3" t="s">
        <v>4</v>
      </c>
      <c r="C1" s="1" t="s">
        <v>1</v>
      </c>
      <c r="D1" s="1" t="s">
        <v>2</v>
      </c>
      <c r="E1" s="2" t="s">
        <v>7</v>
      </c>
      <c r="F1" s="2" t="s">
        <v>23</v>
      </c>
      <c r="G1" s="2" t="s">
        <v>24</v>
      </c>
      <c r="H1" s="2" t="s">
        <v>0</v>
      </c>
      <c r="L1" s="6"/>
    </row>
    <row r="2" spans="1:17" ht="15.6" x14ac:dyDescent="0.3">
      <c r="A2" t="s">
        <v>5</v>
      </c>
      <c r="B2" t="s">
        <v>6</v>
      </c>
      <c r="C2">
        <v>385</v>
      </c>
      <c r="D2" t="s">
        <v>8</v>
      </c>
      <c r="E2">
        <v>7351419.8219999997</v>
      </c>
      <c r="F2">
        <v>1771.59411621094</v>
      </c>
      <c r="G2">
        <v>36329.970259575079</v>
      </c>
      <c r="H2">
        <v>7531.1729722250402</v>
      </c>
      <c r="L2" s="6"/>
    </row>
    <row r="3" spans="1:17" ht="15.6" x14ac:dyDescent="0.3">
      <c r="A3" t="s">
        <v>5</v>
      </c>
      <c r="B3" t="s">
        <v>6</v>
      </c>
      <c r="C3">
        <v>385</v>
      </c>
      <c r="D3" t="s">
        <v>9</v>
      </c>
      <c r="E3">
        <v>7459191.2309999997</v>
      </c>
      <c r="F3">
        <v>2100.3525390625</v>
      </c>
      <c r="G3">
        <v>37133.620397351704</v>
      </c>
      <c r="H3">
        <v>7531.1729722250402</v>
      </c>
      <c r="L3" s="6"/>
    </row>
    <row r="4" spans="1:17" ht="15.6" x14ac:dyDescent="0.3">
      <c r="A4" t="s">
        <v>5</v>
      </c>
      <c r="B4" t="s">
        <v>6</v>
      </c>
      <c r="C4">
        <v>385</v>
      </c>
      <c r="D4" t="s">
        <v>10</v>
      </c>
      <c r="E4">
        <v>7003343.3880000003</v>
      </c>
      <c r="F4">
        <v>2377.52954101563</v>
      </c>
      <c r="G4">
        <v>37997.742430024198</v>
      </c>
      <c r="H4">
        <v>7531.1729722250402</v>
      </c>
      <c r="L4" s="7"/>
      <c r="M4" s="9"/>
      <c r="N4" s="9"/>
      <c r="O4" s="9"/>
      <c r="P4" s="9"/>
      <c r="Q4" s="10"/>
    </row>
    <row r="5" spans="1:17" ht="15.6" x14ac:dyDescent="0.3">
      <c r="A5" t="s">
        <v>5</v>
      </c>
      <c r="B5" t="s">
        <v>6</v>
      </c>
      <c r="C5">
        <v>385</v>
      </c>
      <c r="D5" t="s">
        <v>11</v>
      </c>
      <c r="E5">
        <v>7241103.7280000001</v>
      </c>
      <c r="F5">
        <v>2975.123046875</v>
      </c>
      <c r="G5">
        <v>39490.302390317607</v>
      </c>
      <c r="H5">
        <v>7531.1729722250402</v>
      </c>
      <c r="L5" s="8"/>
      <c r="M5" s="6"/>
      <c r="N5" s="6"/>
      <c r="O5" s="6"/>
      <c r="P5" s="6"/>
      <c r="Q5" s="10"/>
    </row>
    <row r="6" spans="1:17" ht="15.6" x14ac:dyDescent="0.3">
      <c r="A6" t="s">
        <v>5</v>
      </c>
      <c r="B6" t="s">
        <v>6</v>
      </c>
      <c r="C6">
        <v>385</v>
      </c>
      <c r="D6" t="s">
        <v>12</v>
      </c>
      <c r="E6">
        <v>9833167.0360000003</v>
      </c>
      <c r="F6">
        <v>4102.36474609375</v>
      </c>
      <c r="G6">
        <v>41724.641198261379</v>
      </c>
      <c r="H6">
        <v>7531.1729722250402</v>
      </c>
      <c r="L6" s="8"/>
      <c r="M6" s="6"/>
      <c r="N6" s="6"/>
      <c r="O6" s="6"/>
      <c r="P6" s="6"/>
      <c r="Q6" s="10"/>
    </row>
    <row r="7" spans="1:17" ht="15.6" x14ac:dyDescent="0.3">
      <c r="A7" t="s">
        <v>5</v>
      </c>
      <c r="B7" t="s">
        <v>6</v>
      </c>
      <c r="C7">
        <v>385</v>
      </c>
      <c r="D7" t="s">
        <v>13</v>
      </c>
      <c r="E7">
        <v>10939191.424000001</v>
      </c>
      <c r="F7">
        <v>5323.455078125</v>
      </c>
      <c r="G7">
        <v>44123.399647002567</v>
      </c>
      <c r="H7">
        <v>7531.1729722250402</v>
      </c>
      <c r="L7" s="8"/>
      <c r="M7" s="6"/>
      <c r="N7" s="6"/>
      <c r="O7" s="6"/>
      <c r="P7" s="6"/>
      <c r="Q7" s="10"/>
    </row>
    <row r="8" spans="1:17" ht="15.6" x14ac:dyDescent="0.3">
      <c r="A8" t="s">
        <v>5</v>
      </c>
      <c r="B8" t="s">
        <v>6</v>
      </c>
      <c r="C8">
        <v>385</v>
      </c>
      <c r="D8" t="s">
        <v>14</v>
      </c>
      <c r="E8">
        <v>15277112.975000001</v>
      </c>
      <c r="F8">
        <v>6920.19970703125</v>
      </c>
      <c r="G8">
        <v>46301.987648551891</v>
      </c>
      <c r="H8">
        <v>7531.1729722250402</v>
      </c>
      <c r="L8" s="6"/>
    </row>
    <row r="9" spans="1:17" ht="15.6" x14ac:dyDescent="0.3">
      <c r="A9" t="s">
        <v>5</v>
      </c>
      <c r="B9" t="s">
        <v>6</v>
      </c>
      <c r="C9">
        <v>385</v>
      </c>
      <c r="D9" t="s">
        <v>15</v>
      </c>
      <c r="E9">
        <v>16719538.293000001</v>
      </c>
      <c r="F9">
        <v>9101.2392578125</v>
      </c>
      <c r="G9">
        <v>48050.227412195047</v>
      </c>
      <c r="H9">
        <v>7531.1729722250402</v>
      </c>
      <c r="L9" s="8"/>
      <c r="M9" s="11"/>
      <c r="N9" s="6"/>
      <c r="O9" s="10"/>
      <c r="P9" s="11"/>
    </row>
    <row r="10" spans="1:17" ht="15.6" x14ac:dyDescent="0.3">
      <c r="A10" t="s">
        <v>5</v>
      </c>
      <c r="B10" t="s">
        <v>6</v>
      </c>
      <c r="C10">
        <v>385</v>
      </c>
      <c r="D10" t="s">
        <v>16</v>
      </c>
      <c r="E10">
        <v>27571018.017999999</v>
      </c>
      <c r="F10">
        <v>11635.2841796875</v>
      </c>
      <c r="G10">
        <v>48570.05942696015</v>
      </c>
      <c r="H10">
        <v>7531.1729722250402</v>
      </c>
      <c r="L10" s="8"/>
      <c r="M10" s="11"/>
      <c r="N10" s="6"/>
      <c r="O10" s="10"/>
      <c r="P10" s="11"/>
    </row>
    <row r="11" spans="1:17" ht="15.6" x14ac:dyDescent="0.3">
      <c r="A11" t="s">
        <v>5</v>
      </c>
      <c r="B11" t="s">
        <v>6</v>
      </c>
      <c r="C11">
        <v>385</v>
      </c>
      <c r="D11" t="s">
        <v>17</v>
      </c>
      <c r="E11">
        <v>18490197.758000001</v>
      </c>
      <c r="F11">
        <v>8562.82421875</v>
      </c>
      <c r="G11">
        <v>47194.95008938721</v>
      </c>
      <c r="H11">
        <v>7531.1729722250402</v>
      </c>
      <c r="L11" s="8"/>
      <c r="M11" s="11"/>
      <c r="N11" s="6"/>
      <c r="O11" s="10"/>
      <c r="P11" s="11"/>
    </row>
    <row r="12" spans="1:17" ht="15.6" x14ac:dyDescent="0.3">
      <c r="A12" t="s">
        <v>5</v>
      </c>
      <c r="B12" t="s">
        <v>6</v>
      </c>
      <c r="C12">
        <v>385</v>
      </c>
      <c r="D12" t="s">
        <v>18</v>
      </c>
      <c r="E12">
        <v>21766603.083999999</v>
      </c>
      <c r="F12">
        <v>10674.990234375</v>
      </c>
      <c r="G12">
        <v>48650.664322723205</v>
      </c>
      <c r="H12">
        <v>7531.1729722250402</v>
      </c>
      <c r="L12" s="8"/>
      <c r="M12" s="11"/>
      <c r="N12" s="6"/>
      <c r="O12" s="10"/>
      <c r="P12" s="12"/>
    </row>
    <row r="13" spans="1:17" ht="15.6" x14ac:dyDescent="0.3">
      <c r="A13" t="s">
        <v>5</v>
      </c>
      <c r="B13" t="s">
        <v>6</v>
      </c>
      <c r="C13">
        <v>385</v>
      </c>
      <c r="D13" t="s">
        <v>19</v>
      </c>
      <c r="E13">
        <v>28507744.228</v>
      </c>
      <c r="F13">
        <v>14305.33203125</v>
      </c>
      <c r="G13">
        <v>50065.97894706748</v>
      </c>
      <c r="H13">
        <v>7531.1729722250402</v>
      </c>
      <c r="L13" s="8"/>
      <c r="M13" s="11"/>
      <c r="N13" s="6"/>
      <c r="O13" s="10"/>
      <c r="P13" s="11"/>
    </row>
    <row r="14" spans="1:17" ht="15.6" x14ac:dyDescent="0.3">
      <c r="A14" t="s">
        <v>5</v>
      </c>
      <c r="B14" t="s">
        <v>6</v>
      </c>
      <c r="C14">
        <v>385</v>
      </c>
      <c r="D14" t="s">
        <v>20</v>
      </c>
      <c r="E14">
        <v>28527622.004999999</v>
      </c>
      <c r="F14">
        <v>15401.8515625</v>
      </c>
      <c r="G14">
        <v>51784.411469204839</v>
      </c>
      <c r="H14">
        <v>7531.1729722250402</v>
      </c>
      <c r="L14" s="8"/>
      <c r="M14" s="11"/>
      <c r="N14" s="6"/>
      <c r="O14" s="10"/>
      <c r="P14" s="11"/>
    </row>
    <row r="15" spans="1:17" x14ac:dyDescent="0.3">
      <c r="A15" t="s">
        <v>5</v>
      </c>
      <c r="B15" t="s">
        <v>6</v>
      </c>
      <c r="C15">
        <v>385</v>
      </c>
      <c r="D15" t="s">
        <v>21</v>
      </c>
      <c r="E15">
        <v>27894767.174000002</v>
      </c>
      <c r="F15">
        <v>15941.4482421875</v>
      </c>
      <c r="G15">
        <v>53409.75077743717</v>
      </c>
      <c r="H15">
        <v>7531.1729722250402</v>
      </c>
    </row>
    <row r="16" spans="1:17" x14ac:dyDescent="0.3">
      <c r="A16" t="s">
        <v>5</v>
      </c>
      <c r="B16" t="s">
        <v>6</v>
      </c>
      <c r="C16">
        <v>385</v>
      </c>
      <c r="D16" t="s">
        <v>22</v>
      </c>
      <c r="E16">
        <v>28147882.952</v>
      </c>
      <c r="F16">
        <v>14055.47265625</v>
      </c>
      <c r="G16">
        <v>55304.315531713677</v>
      </c>
      <c r="H16">
        <v>7531.1729722250402</v>
      </c>
    </row>
    <row r="17" spans="1:12" ht="15.6" x14ac:dyDescent="0.3">
      <c r="E17" s="6"/>
    </row>
    <row r="18" spans="1:12" ht="15.6" x14ac:dyDescent="0.3">
      <c r="E18" s="8"/>
      <c r="I18" t="s">
        <v>26</v>
      </c>
      <c r="K18" t="s">
        <v>27</v>
      </c>
    </row>
    <row r="19" spans="1:12" x14ac:dyDescent="0.3">
      <c r="A19" s="4" t="s">
        <v>5</v>
      </c>
      <c r="B19" s="4" t="s">
        <v>6</v>
      </c>
      <c r="C19" s="4">
        <v>385</v>
      </c>
      <c r="D19" s="4" t="s">
        <v>25</v>
      </c>
      <c r="E19" s="4">
        <v>3798112.3509999998</v>
      </c>
      <c r="F19" s="4">
        <v>14794.697</v>
      </c>
      <c r="G19" s="4">
        <v>85812.176000000007</v>
      </c>
      <c r="H19" s="4">
        <v>7531.1729722250402</v>
      </c>
      <c r="I19">
        <f>EXP(4.7393+LN(F19)*0.393403+LN(G19)*0.8394+LN(H19)*(-0.288934))</f>
        <v>5246233.4541030833</v>
      </c>
      <c r="J19" s="5"/>
      <c r="K19">
        <f>E19-I19</f>
        <v>-1448121.1031030836</v>
      </c>
    </row>
    <row r="20" spans="1:12" x14ac:dyDescent="0.3">
      <c r="A20" s="4" t="s">
        <v>5</v>
      </c>
      <c r="B20" s="4" t="s">
        <v>6</v>
      </c>
      <c r="C20" s="4">
        <v>385</v>
      </c>
      <c r="D20" s="4" t="s">
        <v>28</v>
      </c>
      <c r="E20" s="4">
        <v>5499714.6849999996</v>
      </c>
      <c r="F20" s="4">
        <v>14079.116</v>
      </c>
      <c r="G20" s="4">
        <v>82253.907000000007</v>
      </c>
      <c r="H20" s="4">
        <v>7531.1729722250402</v>
      </c>
    </row>
    <row r="21" spans="1:12" x14ac:dyDescent="0.3">
      <c r="A21" s="4" t="s">
        <v>5</v>
      </c>
      <c r="B21" s="4" t="s">
        <v>6</v>
      </c>
      <c r="C21" s="4">
        <v>385</v>
      </c>
      <c r="D21" s="4" t="s">
        <v>25</v>
      </c>
      <c r="E21" s="4">
        <v>3798112.3509999998</v>
      </c>
      <c r="F21" s="4">
        <v>14794.697</v>
      </c>
      <c r="G21" s="4">
        <v>85812.176000000007</v>
      </c>
      <c r="H21" s="4">
        <v>7531.1729722250402</v>
      </c>
      <c r="I21">
        <f>EXP(0.727073+LN(F21)*(-0.0124787)+LN(G21)*(-0.00311931)+LN(H21)*(-0.00995239)+LN(E20)*0.972416)</f>
        <v>5809885.7024406465</v>
      </c>
      <c r="J21" s="5"/>
      <c r="K21">
        <f>E21-I21</f>
        <v>-2011773.3514406467</v>
      </c>
      <c r="L21" s="13"/>
    </row>
    <row r="22" spans="1:12" x14ac:dyDescent="0.3">
      <c r="I22" t="s">
        <v>29</v>
      </c>
    </row>
    <row r="25" spans="1:12" x14ac:dyDescent="0.3">
      <c r="A25" s="4" t="s">
        <v>5</v>
      </c>
      <c r="B25" s="4" t="s">
        <v>6</v>
      </c>
      <c r="C25" s="4">
        <v>385</v>
      </c>
      <c r="D25" s="4" t="s">
        <v>28</v>
      </c>
      <c r="E25" s="4">
        <v>5499714.6849999996</v>
      </c>
      <c r="F25" s="4">
        <v>14079.116</v>
      </c>
      <c r="G25" s="4">
        <v>82253.907000000007</v>
      </c>
      <c r="H25" s="4">
        <v>7531.1729722250402</v>
      </c>
    </row>
    <row r="26" spans="1:12" x14ac:dyDescent="0.3">
      <c r="A26" s="4" t="s">
        <v>5</v>
      </c>
      <c r="B26" s="4" t="s">
        <v>6</v>
      </c>
      <c r="C26" s="4">
        <v>385</v>
      </c>
      <c r="D26" s="4" t="s">
        <v>25</v>
      </c>
      <c r="E26" s="4">
        <v>3798112.3509999998</v>
      </c>
      <c r="F26" s="4">
        <v>14794.697</v>
      </c>
      <c r="G26" s="4">
        <v>85812.176000000007</v>
      </c>
      <c r="H26" s="4">
        <v>7531.1729722250402</v>
      </c>
      <c r="I26">
        <f>EXP(0.629181+LN(F26)*(-0.0126862)+LN(G26)*(-0.00122289)+LN(H26)*(-0.00632932)+LN(E25)*0.974138)</f>
        <v>5698983.8655393394</v>
      </c>
    </row>
    <row r="27" spans="1:12" x14ac:dyDescent="0.3">
      <c r="I27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22D6D-9477-4AE8-9C73-699D0034E9DF}">
  <dimension ref="A1:J63"/>
  <sheetViews>
    <sheetView tabSelected="1" workbookViewId="0">
      <selection activeCell="D23" sqref="D23"/>
    </sheetView>
  </sheetViews>
  <sheetFormatPr defaultRowHeight="14.4" x14ac:dyDescent="0.3"/>
  <cols>
    <col min="5" max="5" width="12" bestFit="1" customWidth="1"/>
    <col min="6" max="7" width="10" bestFit="1" customWidth="1"/>
    <col min="8" max="10" width="12" bestFit="1" customWidth="1"/>
  </cols>
  <sheetData>
    <row r="1" spans="1:10" ht="43.2" x14ac:dyDescent="0.3">
      <c r="A1" s="14" t="s">
        <v>3</v>
      </c>
      <c r="B1" s="15" t="s">
        <v>4</v>
      </c>
      <c r="C1" s="14" t="s">
        <v>1</v>
      </c>
      <c r="D1" s="14" t="s">
        <v>2</v>
      </c>
      <c r="E1" s="16" t="s">
        <v>7</v>
      </c>
      <c r="F1" s="16" t="s">
        <v>23</v>
      </c>
      <c r="G1" s="16" t="s">
        <v>24</v>
      </c>
      <c r="H1" s="16" t="s">
        <v>0</v>
      </c>
      <c r="I1" s="22" t="s">
        <v>75</v>
      </c>
      <c r="J1" s="16" t="s">
        <v>76</v>
      </c>
    </row>
    <row r="2" spans="1:10" x14ac:dyDescent="0.3">
      <c r="A2" s="4" t="s">
        <v>40</v>
      </c>
      <c r="B2" s="4" t="s">
        <v>5</v>
      </c>
      <c r="C2" s="4">
        <v>21</v>
      </c>
      <c r="D2" s="4" t="s">
        <v>28</v>
      </c>
      <c r="E2" s="4">
        <v>408423.00524999999</v>
      </c>
      <c r="F2" s="4">
        <v>13835.967000000001</v>
      </c>
      <c r="G2" s="4">
        <v>14079.116</v>
      </c>
      <c r="H2" s="4">
        <v>13459.278964486401</v>
      </c>
      <c r="J2" s="4"/>
    </row>
    <row r="3" spans="1:10" x14ac:dyDescent="0.3">
      <c r="A3" s="4" t="s">
        <v>40</v>
      </c>
      <c r="B3" s="4" t="s">
        <v>5</v>
      </c>
      <c r="C3" s="4">
        <v>21</v>
      </c>
      <c r="D3" s="4" t="s">
        <v>25</v>
      </c>
      <c r="E3" s="4">
        <v>489551.23333000002</v>
      </c>
      <c r="F3" s="4">
        <v>13415.312</v>
      </c>
      <c r="G3" s="4">
        <v>14794.697</v>
      </c>
      <c r="H3" s="4">
        <v>13459.278964486401</v>
      </c>
      <c r="I3">
        <f>EXP(0.727073+LN(F3)*(-0.0124787)+LN(G3)*(-0.00311931)+LN(H3)*(-0.00995239)+LN(E2)*0.972416)</f>
        <v>463968.55124955595</v>
      </c>
      <c r="J3" s="4">
        <v>489551.23333000002</v>
      </c>
    </row>
    <row r="4" spans="1:10" x14ac:dyDescent="0.3">
      <c r="A4" s="3" t="s">
        <v>41</v>
      </c>
      <c r="B4" s="3" t="s">
        <v>5</v>
      </c>
      <c r="C4" s="3">
        <v>48</v>
      </c>
      <c r="D4" s="3" t="s">
        <v>28</v>
      </c>
      <c r="E4" s="3">
        <v>11198.269557000001</v>
      </c>
      <c r="F4" s="3">
        <v>64652.152999999998</v>
      </c>
      <c r="G4" s="3">
        <v>14079.116</v>
      </c>
      <c r="H4" s="3">
        <v>14484.007190910999</v>
      </c>
      <c r="J4" s="3"/>
    </row>
    <row r="5" spans="1:10" x14ac:dyDescent="0.3">
      <c r="A5" s="3" t="s">
        <v>41</v>
      </c>
      <c r="B5" s="3" t="s">
        <v>5</v>
      </c>
      <c r="C5" s="3">
        <v>48</v>
      </c>
      <c r="D5" s="3" t="s">
        <v>25</v>
      </c>
      <c r="E5" s="3">
        <v>3649.8942259999999</v>
      </c>
      <c r="F5" s="3">
        <v>66247.960000000006</v>
      </c>
      <c r="G5" s="3">
        <v>14794.697</v>
      </c>
      <c r="H5" s="3">
        <v>14484.007190910999</v>
      </c>
      <c r="I5">
        <f>EXP(0.727073+LN(F5)*(-0.0124787)+LN(G5)*(-0.00311931)+LN(H5)*(-0.00995239)+LN(E4)*0.972416)</f>
        <v>13760.75694068628</v>
      </c>
      <c r="J5" s="3">
        <v>3649.8942259999999</v>
      </c>
    </row>
    <row r="6" spans="1:10" x14ac:dyDescent="0.3">
      <c r="A6" s="23" t="s">
        <v>42</v>
      </c>
      <c r="B6" s="23" t="s">
        <v>5</v>
      </c>
      <c r="C6" s="23">
        <v>74</v>
      </c>
      <c r="D6" s="23" t="s">
        <v>28</v>
      </c>
      <c r="E6" s="3">
        <v>27589528.100000001</v>
      </c>
      <c r="F6" s="3">
        <v>7821.8789999999999</v>
      </c>
      <c r="G6" s="3">
        <v>14079.116</v>
      </c>
      <c r="H6" s="3">
        <v>677.24690223242999</v>
      </c>
      <c r="J6" s="3"/>
    </row>
    <row r="7" spans="1:10" x14ac:dyDescent="0.3">
      <c r="A7" s="23" t="s">
        <v>42</v>
      </c>
      <c r="B7" s="23" t="s">
        <v>5</v>
      </c>
      <c r="C7" s="23">
        <v>74</v>
      </c>
      <c r="D7" s="23" t="s">
        <v>25</v>
      </c>
      <c r="E7" s="3">
        <v>27589528.100000001</v>
      </c>
      <c r="F7" s="3">
        <v>7794.2650000000003</v>
      </c>
      <c r="G7" s="3">
        <v>14794.697</v>
      </c>
      <c r="H7" s="3">
        <v>677.24690223242999</v>
      </c>
      <c r="I7">
        <f>EXP(0.727073+LN(F7)*(-0.0124787)+LN(G7)*(-0.00311931)+LN(H7)*(-0.00995239)+LN(E6)*0.972416)</f>
        <v>28941279.489470337</v>
      </c>
      <c r="J7" s="3">
        <v>27589528.100000001</v>
      </c>
    </row>
    <row r="8" spans="1:10" x14ac:dyDescent="0.3">
      <c r="A8" s="4" t="s">
        <v>43</v>
      </c>
      <c r="B8" s="4" t="s">
        <v>5</v>
      </c>
      <c r="C8" s="4">
        <v>99</v>
      </c>
      <c r="D8" s="4" t="s">
        <v>28</v>
      </c>
      <c r="E8" s="4">
        <v>12477575.816</v>
      </c>
      <c r="F8" s="4">
        <v>10350.437</v>
      </c>
      <c r="G8" s="4">
        <v>14079.116</v>
      </c>
      <c r="H8" s="4">
        <v>11790.985784417901</v>
      </c>
      <c r="J8" s="4"/>
    </row>
    <row r="9" spans="1:10" x14ac:dyDescent="0.3">
      <c r="A9" s="4" t="s">
        <v>43</v>
      </c>
      <c r="B9" s="4" t="s">
        <v>5</v>
      </c>
      <c r="C9" s="4">
        <v>99</v>
      </c>
      <c r="D9" s="4" t="s">
        <v>25</v>
      </c>
      <c r="E9" s="4">
        <v>13657393.814999999</v>
      </c>
      <c r="F9" s="4">
        <v>10214.031999999999</v>
      </c>
      <c r="G9" s="4">
        <v>14794.697</v>
      </c>
      <c r="H9" s="4">
        <v>11790.985784417901</v>
      </c>
      <c r="I9">
        <f>EXP(0.727073+LN(F9)*(-0.0124787)+LN(G9)*(-0.00311931)+LN(H9)*(-0.00995239)+LN(E8)*0.972416)</f>
        <v>12959709.772951953</v>
      </c>
      <c r="J9" s="4">
        <v>13657393.814999999</v>
      </c>
    </row>
    <row r="10" spans="1:10" x14ac:dyDescent="0.3">
      <c r="A10" s="4" t="s">
        <v>44</v>
      </c>
      <c r="B10" s="4" t="s">
        <v>5</v>
      </c>
      <c r="C10" s="4">
        <v>123</v>
      </c>
      <c r="D10" s="4" t="s">
        <v>28</v>
      </c>
      <c r="E10" s="4">
        <v>2220967.6282579997</v>
      </c>
      <c r="F10" s="4">
        <v>54376.269</v>
      </c>
      <c r="G10" s="4">
        <v>14079.116</v>
      </c>
      <c r="H10" s="4">
        <v>7503.4524423602097</v>
      </c>
      <c r="J10" s="4"/>
    </row>
    <row r="11" spans="1:10" x14ac:dyDescent="0.3">
      <c r="A11" s="4" t="s">
        <v>44</v>
      </c>
      <c r="B11" s="4" t="s">
        <v>5</v>
      </c>
      <c r="C11" s="4">
        <v>123</v>
      </c>
      <c r="D11" s="4" t="s">
        <v>25</v>
      </c>
      <c r="E11" s="4">
        <v>2557984.2898639995</v>
      </c>
      <c r="F11" s="4">
        <v>54473.186000000002</v>
      </c>
      <c r="G11" s="4">
        <v>14794.697</v>
      </c>
      <c r="H11" s="4">
        <v>7503.4524423602097</v>
      </c>
      <c r="I11">
        <f>EXP(0.727073+LN(F11)*(-0.0124787)+LN(G11)*(-0.00311931)+LN(H11)*(-0.00995239)+LN(E10)*0.972416)</f>
        <v>2379937.9365698704</v>
      </c>
      <c r="J11" s="4">
        <v>2557984.2898639995</v>
      </c>
    </row>
    <row r="12" spans="1:10" x14ac:dyDescent="0.3">
      <c r="A12" s="17" t="s">
        <v>45</v>
      </c>
      <c r="B12" s="3" t="s">
        <v>5</v>
      </c>
      <c r="C12" s="3">
        <v>146</v>
      </c>
      <c r="D12" s="3" t="s">
        <v>28</v>
      </c>
      <c r="E12" s="3">
        <v>240140987.10100001</v>
      </c>
      <c r="F12" s="3">
        <v>12960.728999999999</v>
      </c>
      <c r="G12" s="3">
        <v>14079.116</v>
      </c>
      <c r="H12" s="3">
        <v>6831.3555181443799</v>
      </c>
      <c r="J12" s="3"/>
    </row>
    <row r="13" spans="1:10" x14ac:dyDescent="0.3">
      <c r="A13" s="17" t="s">
        <v>45</v>
      </c>
      <c r="B13" s="3" t="s">
        <v>5</v>
      </c>
      <c r="C13" s="3">
        <v>146</v>
      </c>
      <c r="D13" s="3" t="s">
        <v>25</v>
      </c>
      <c r="E13" s="3">
        <v>240140987.10100001</v>
      </c>
      <c r="F13" s="3">
        <v>13312.7</v>
      </c>
      <c r="G13" s="3">
        <v>14794.697</v>
      </c>
      <c r="H13" s="3">
        <v>6831.3555181443799</v>
      </c>
      <c r="I13">
        <f>EXP(0.727073+LN(F13)*(-0.0124787)+LN(G13)*(-0.00311931)+LN(H13)*(-0.00995239)+LN(E12)*0.972416)</f>
        <v>230370815.4507463</v>
      </c>
      <c r="J13" s="3">
        <v>240140987.10100001</v>
      </c>
    </row>
    <row r="14" spans="1:10" x14ac:dyDescent="0.3">
      <c r="A14" s="3" t="s">
        <v>46</v>
      </c>
      <c r="B14" s="3" t="s">
        <v>5</v>
      </c>
      <c r="C14" s="3">
        <v>168</v>
      </c>
      <c r="D14" s="3" t="s">
        <v>28</v>
      </c>
      <c r="E14" s="3">
        <v>5476938.544559001</v>
      </c>
      <c r="F14" s="3">
        <v>3743.6080000000002</v>
      </c>
      <c r="G14" s="3">
        <v>14079.116</v>
      </c>
      <c r="H14" s="3">
        <v>2898.01275037095</v>
      </c>
      <c r="J14" s="3"/>
    </row>
    <row r="15" spans="1:10" x14ac:dyDescent="0.3">
      <c r="A15" s="3" t="s">
        <v>46</v>
      </c>
      <c r="B15" s="3" t="s">
        <v>5</v>
      </c>
      <c r="C15" s="3">
        <v>168</v>
      </c>
      <c r="D15" s="3" t="s">
        <v>25</v>
      </c>
      <c r="E15" s="3">
        <v>6613969.2323150001</v>
      </c>
      <c r="F15" s="3">
        <v>3570.3130000000001</v>
      </c>
      <c r="G15" s="3">
        <v>14794.697</v>
      </c>
      <c r="H15" s="3">
        <v>2898.01275037095</v>
      </c>
      <c r="I15">
        <f>EXP(0.727073+LN(F15)*(-0.0124787)+LN(G15)*(-0.00311931)+LN(H15)*(-0.00995239)+LN(E14)*0.972416)</f>
        <v>5979001.3190613259</v>
      </c>
      <c r="J15" s="3">
        <v>6613969.2323150001</v>
      </c>
    </row>
    <row r="16" spans="1:10" x14ac:dyDescent="0.3">
      <c r="A16" s="4" t="s">
        <v>47</v>
      </c>
      <c r="B16" s="4" t="s">
        <v>5</v>
      </c>
      <c r="C16" s="4">
        <v>189</v>
      </c>
      <c r="D16" s="4" t="s">
        <v>28</v>
      </c>
      <c r="E16" s="4">
        <v>1377456.5262899997</v>
      </c>
      <c r="F16" s="4">
        <v>30142.008999999998</v>
      </c>
      <c r="G16" s="4">
        <v>14079.116</v>
      </c>
      <c r="H16" s="4">
        <v>869.767534213202</v>
      </c>
      <c r="J16" s="4"/>
    </row>
    <row r="17" spans="1:10" x14ac:dyDescent="0.3">
      <c r="A17" s="4" t="s">
        <v>47</v>
      </c>
      <c r="B17" s="4" t="s">
        <v>5</v>
      </c>
      <c r="C17" s="4">
        <v>189</v>
      </c>
      <c r="D17" s="4" t="s">
        <v>25</v>
      </c>
      <c r="E17" s="4">
        <v>1209329.0483299999</v>
      </c>
      <c r="F17" s="4">
        <v>31174.35</v>
      </c>
      <c r="G17" s="4">
        <v>14794.697</v>
      </c>
      <c r="H17" s="4">
        <v>869.767534213202</v>
      </c>
      <c r="I17">
        <f>EXP(0.727073+LN(F17)*(-0.0124787)+LN(G17)*(-0.00311931)+LN(H17)*(-0.00995239)+LN(E16)*0.972416)</f>
        <v>1538730.9094828141</v>
      </c>
      <c r="J17" s="4">
        <v>1209329.0483299999</v>
      </c>
    </row>
    <row r="18" spans="1:10" x14ac:dyDescent="0.3">
      <c r="A18" s="4" t="s">
        <v>48</v>
      </c>
      <c r="B18" s="4" t="s">
        <v>5</v>
      </c>
      <c r="C18" s="4">
        <v>209</v>
      </c>
      <c r="D18" s="4" t="s">
        <v>28</v>
      </c>
      <c r="E18" s="4">
        <v>379239.10841600003</v>
      </c>
      <c r="F18" s="4">
        <v>53026.110999999997</v>
      </c>
      <c r="G18" s="4">
        <v>14079.116</v>
      </c>
      <c r="H18" s="4">
        <v>895.22221576457298</v>
      </c>
      <c r="J18" s="4"/>
    </row>
    <row r="19" spans="1:10" x14ac:dyDescent="0.3">
      <c r="A19" s="4" t="s">
        <v>48</v>
      </c>
      <c r="B19" s="4" t="s">
        <v>5</v>
      </c>
      <c r="C19" s="4">
        <v>209</v>
      </c>
      <c r="D19" s="4" t="s">
        <v>25</v>
      </c>
      <c r="E19" s="4">
        <v>490170.06875099998</v>
      </c>
      <c r="F19" s="4">
        <v>53326.396000000001</v>
      </c>
      <c r="G19" s="4">
        <v>14794.697</v>
      </c>
      <c r="H19" s="4">
        <v>895.22221576457298</v>
      </c>
      <c r="I19">
        <f>EXP(0.727073+LN(F19)*(-0.0124787)+LN(G19)*(-0.00311931)+LN(H19)*(-0.00995239)+LN(E18)*0.972416)</f>
        <v>435928.69220277545</v>
      </c>
      <c r="J19" s="4">
        <v>490170.06875099998</v>
      </c>
    </row>
    <row r="20" spans="1:10" x14ac:dyDescent="0.3">
      <c r="A20" s="3" t="s">
        <v>49</v>
      </c>
      <c r="B20" s="3" t="s">
        <v>5</v>
      </c>
      <c r="C20" s="3">
        <v>228</v>
      </c>
      <c r="D20" s="3" t="s">
        <v>28</v>
      </c>
      <c r="E20" s="3">
        <v>9861335.9502420016</v>
      </c>
      <c r="F20" s="3">
        <v>44792.016000000003</v>
      </c>
      <c r="G20" s="3">
        <v>14079.116</v>
      </c>
      <c r="H20" s="3">
        <v>2493.9222564176998</v>
      </c>
      <c r="J20" s="3"/>
    </row>
    <row r="21" spans="1:10" x14ac:dyDescent="0.3">
      <c r="A21" s="3" t="s">
        <v>49</v>
      </c>
      <c r="B21" s="3" t="s">
        <v>5</v>
      </c>
      <c r="C21" s="3">
        <v>228</v>
      </c>
      <c r="D21" s="3" t="s">
        <v>25</v>
      </c>
      <c r="E21" s="3">
        <v>9861335.9502420016</v>
      </c>
      <c r="F21" s="3">
        <v>46203.675000000003</v>
      </c>
      <c r="G21" s="3">
        <v>14794.697</v>
      </c>
      <c r="H21" s="3">
        <v>2493.9222564176998</v>
      </c>
      <c r="I21">
        <f>EXP(0.727073+LN(F21)*(-0.0124787)+LN(G21)*(-0.00311931)+LN(H21)*(-0.00995239)+LN(E20)*0.972416)</f>
        <v>10274359.706354238</v>
      </c>
      <c r="J21" s="3">
        <v>9861335.9502420016</v>
      </c>
    </row>
    <row r="22" spans="1:10" x14ac:dyDescent="0.3">
      <c r="A22" s="3" t="s">
        <v>50</v>
      </c>
      <c r="B22" s="3" t="s">
        <v>5</v>
      </c>
      <c r="C22" s="3">
        <v>246</v>
      </c>
      <c r="D22" s="3" t="s">
        <v>28</v>
      </c>
      <c r="E22" s="3">
        <v>14160102.049929</v>
      </c>
      <c r="F22" s="3">
        <v>53565.040999999997</v>
      </c>
      <c r="G22" s="3">
        <v>14079.116</v>
      </c>
      <c r="H22" s="3">
        <v>1613.33655127474</v>
      </c>
      <c r="J22" s="3"/>
    </row>
    <row r="23" spans="1:10" x14ac:dyDescent="0.3">
      <c r="A23" s="3" t="s">
        <v>50</v>
      </c>
      <c r="B23" s="3" t="s">
        <v>5</v>
      </c>
      <c r="C23" s="3">
        <v>246</v>
      </c>
      <c r="D23" s="3" t="s">
        <v>25</v>
      </c>
      <c r="E23" s="3">
        <v>10707039.852978999</v>
      </c>
      <c r="F23" s="3">
        <v>54989.760000000002</v>
      </c>
      <c r="G23" s="3">
        <v>14794.697</v>
      </c>
      <c r="H23" s="3">
        <v>1613.33655127474</v>
      </c>
      <c r="I23">
        <f>EXP(0.727073+LN(F23)*(-0.0124787)+LN(G23)*(-0.00311931)+LN(H23)*(-0.00995239)+LN(E22)*0.972416)</f>
        <v>14638285.784203392</v>
      </c>
      <c r="J23" s="3">
        <v>10707039.852978999</v>
      </c>
    </row>
    <row r="24" spans="1:10" x14ac:dyDescent="0.3">
      <c r="A24" s="4" t="s">
        <v>51</v>
      </c>
      <c r="B24" s="4" t="s">
        <v>5</v>
      </c>
      <c r="C24" s="4">
        <v>263</v>
      </c>
      <c r="D24" s="4" t="s">
        <v>28</v>
      </c>
      <c r="E24" s="4">
        <v>71128628.923205003</v>
      </c>
      <c r="F24" s="4">
        <v>2546.8420000000001</v>
      </c>
      <c r="G24" s="4">
        <v>14079.116</v>
      </c>
      <c r="H24" s="4">
        <v>5026.3692185700902</v>
      </c>
      <c r="J24" s="4"/>
    </row>
    <row r="25" spans="1:10" x14ac:dyDescent="0.3">
      <c r="A25" s="4" t="s">
        <v>51</v>
      </c>
      <c r="B25" s="4" t="s">
        <v>5</v>
      </c>
      <c r="C25" s="4">
        <v>263</v>
      </c>
      <c r="D25" s="4" t="s">
        <v>25</v>
      </c>
      <c r="E25" s="4">
        <v>71994470.271828994</v>
      </c>
      <c r="F25" s="4">
        <v>2711.4119999999998</v>
      </c>
      <c r="G25" s="4">
        <v>14794.697</v>
      </c>
      <c r="H25" s="4">
        <v>5026.3692185700902</v>
      </c>
      <c r="I25">
        <f>EXP(0.727073+LN(F25)*(-0.0124787)+LN(G25)*(-0.00311931)+LN(H25)*(-0.00995239)+LN(E24)*0.972416)</f>
        <v>72199042.464518085</v>
      </c>
      <c r="J25" s="4">
        <v>71994470.271828994</v>
      </c>
    </row>
    <row r="26" spans="1:10" x14ac:dyDescent="0.3">
      <c r="A26" s="4" t="s">
        <v>52</v>
      </c>
      <c r="B26" s="4" t="s">
        <v>5</v>
      </c>
      <c r="C26" s="4">
        <v>279</v>
      </c>
      <c r="D26" s="4" t="s">
        <v>28</v>
      </c>
      <c r="E26" s="4">
        <v>3346723.5946850004</v>
      </c>
      <c r="F26" s="4">
        <v>4919.9430000000002</v>
      </c>
      <c r="G26" s="4">
        <v>14079.116</v>
      </c>
      <c r="H26" s="4">
        <v>9303.2000794141895</v>
      </c>
      <c r="J26" s="4"/>
    </row>
    <row r="27" spans="1:10" x14ac:dyDescent="0.3">
      <c r="A27" s="4" t="s">
        <v>52</v>
      </c>
      <c r="B27" s="4" t="s">
        <v>5</v>
      </c>
      <c r="C27" s="4">
        <v>279</v>
      </c>
      <c r="D27" s="4" t="s">
        <v>25</v>
      </c>
      <c r="E27" s="4">
        <v>3346723.5946850004</v>
      </c>
      <c r="F27" s="4">
        <v>4958.3850000000002</v>
      </c>
      <c r="G27" s="4">
        <v>14794.697</v>
      </c>
      <c r="H27" s="4">
        <v>9303.2000794141895</v>
      </c>
      <c r="I27">
        <f>EXP(0.727073+LN(F27)*(-0.0124787)+LN(G27)*(-0.00311931)+LN(H27)*(-0.00995239)+LN(E26)*0.972416)</f>
        <v>3645778.2578960052</v>
      </c>
      <c r="J27" s="4">
        <v>3346723.5946850004</v>
      </c>
    </row>
    <row r="28" spans="1:10" x14ac:dyDescent="0.3">
      <c r="A28" s="3" t="s">
        <v>53</v>
      </c>
      <c r="B28" s="3" t="s">
        <v>5</v>
      </c>
      <c r="C28" s="3">
        <v>294</v>
      </c>
      <c r="D28" s="3" t="s">
        <v>28</v>
      </c>
      <c r="E28" s="3">
        <v>9430484.8857470006</v>
      </c>
      <c r="F28" s="3">
        <v>39074.241999999998</v>
      </c>
      <c r="G28" s="3">
        <v>14079.116</v>
      </c>
      <c r="H28" s="3">
        <v>2379.3669093886201</v>
      </c>
      <c r="J28" s="3"/>
    </row>
    <row r="29" spans="1:10" x14ac:dyDescent="0.3">
      <c r="A29" s="3" t="s">
        <v>53</v>
      </c>
      <c r="B29" s="3" t="s">
        <v>5</v>
      </c>
      <c r="C29" s="3">
        <v>294</v>
      </c>
      <c r="D29" s="3" t="s">
        <v>25</v>
      </c>
      <c r="E29" s="3">
        <v>8429792.338812001</v>
      </c>
      <c r="F29" s="3">
        <v>40224.012000000002</v>
      </c>
      <c r="G29" s="3">
        <v>14794.697</v>
      </c>
      <c r="H29" s="3">
        <v>2379.3669093886201</v>
      </c>
      <c r="I29">
        <f>EXP(0.727073+LN(F29)*(-0.0124787)+LN(G29)*(-0.00311931)+LN(H29)*(-0.00995239)+LN(E28)*0.972416)</f>
        <v>9859220.1104428004</v>
      </c>
      <c r="J29" s="3">
        <v>8429792.338812001</v>
      </c>
    </row>
    <row r="30" spans="1:10" x14ac:dyDescent="0.3">
      <c r="A30" s="3" t="s">
        <v>54</v>
      </c>
      <c r="B30" s="3" t="s">
        <v>5</v>
      </c>
      <c r="C30" s="3">
        <v>308</v>
      </c>
      <c r="D30" s="3" t="s">
        <v>28</v>
      </c>
      <c r="E30" s="3">
        <v>10194184.288460001</v>
      </c>
      <c r="F30" s="3">
        <v>33845.481</v>
      </c>
      <c r="G30" s="3">
        <v>14079.116</v>
      </c>
      <c r="H30" s="3">
        <v>7497.1010153651496</v>
      </c>
      <c r="J30" s="3"/>
    </row>
    <row r="31" spans="1:10" x14ac:dyDescent="0.3">
      <c r="A31" s="3" t="s">
        <v>54</v>
      </c>
      <c r="B31" s="3" t="s">
        <v>5</v>
      </c>
      <c r="C31" s="3">
        <v>308</v>
      </c>
      <c r="D31" s="3" t="s">
        <v>25</v>
      </c>
      <c r="E31" s="3">
        <v>7848815.009513</v>
      </c>
      <c r="F31" s="3">
        <v>32498.146000000001</v>
      </c>
      <c r="G31" s="3">
        <v>14794.697</v>
      </c>
      <c r="H31" s="3">
        <v>7497.1010153651496</v>
      </c>
      <c r="I31">
        <f>EXP(0.727073+LN(F31)*(-0.0124787)+LN(G31)*(-0.00311931)+LN(H31)*(-0.00995239)+LN(E30)*0.972416)</f>
        <v>10542010.493408276</v>
      </c>
      <c r="J31" s="3">
        <v>7848815.009513</v>
      </c>
    </row>
    <row r="32" spans="1:10" x14ac:dyDescent="0.3">
      <c r="A32" s="4" t="s">
        <v>55</v>
      </c>
      <c r="B32" s="4" t="s">
        <v>5</v>
      </c>
      <c r="C32" s="4">
        <v>321</v>
      </c>
      <c r="D32" s="4" t="s">
        <v>28</v>
      </c>
      <c r="E32" s="4">
        <v>25980387.409370001</v>
      </c>
      <c r="F32" s="4">
        <v>13157.579</v>
      </c>
      <c r="G32" s="4">
        <v>14079.116</v>
      </c>
      <c r="H32" s="4">
        <v>3112.8466861053398</v>
      </c>
      <c r="J32" s="4"/>
    </row>
    <row r="33" spans="1:10" x14ac:dyDescent="0.3">
      <c r="A33" s="4" t="s">
        <v>55</v>
      </c>
      <c r="B33" s="4" t="s">
        <v>5</v>
      </c>
      <c r="C33" s="4">
        <v>321</v>
      </c>
      <c r="D33" s="4" t="s">
        <v>25</v>
      </c>
      <c r="E33" s="4">
        <v>25980387.409370001</v>
      </c>
      <c r="F33" s="4">
        <v>14149.097</v>
      </c>
      <c r="G33" s="4">
        <v>14794.697</v>
      </c>
      <c r="H33" s="4">
        <v>3112.8466861053398</v>
      </c>
      <c r="I33">
        <f>EXP(0.727073+LN(F33)*(-0.0124787)+LN(G33)*(-0.00311931)+LN(H33)*(-0.00995239)+LN(E32)*0.972416)</f>
        <v>26687937.359960034</v>
      </c>
      <c r="J33" s="4">
        <v>25980387.409370001</v>
      </c>
    </row>
    <row r="34" spans="1:10" x14ac:dyDescent="0.3">
      <c r="A34" s="4" t="s">
        <v>56</v>
      </c>
      <c r="B34" s="4" t="s">
        <v>5</v>
      </c>
      <c r="C34" s="4">
        <v>333</v>
      </c>
      <c r="D34" s="4" t="s">
        <v>28</v>
      </c>
      <c r="E34" s="4">
        <v>15011784.432999998</v>
      </c>
      <c r="F34" s="4">
        <v>35563.046000000002</v>
      </c>
      <c r="G34" s="4">
        <v>14079.116</v>
      </c>
      <c r="H34" s="4">
        <v>6606.48</v>
      </c>
      <c r="J34" s="4"/>
    </row>
    <row r="35" spans="1:10" x14ac:dyDescent="0.3">
      <c r="A35" s="4" t="s">
        <v>56</v>
      </c>
      <c r="B35" s="4" t="s">
        <v>5</v>
      </c>
      <c r="C35" s="4">
        <v>333</v>
      </c>
      <c r="D35" s="4" t="s">
        <v>25</v>
      </c>
      <c r="E35" s="4">
        <v>11394009.677000001</v>
      </c>
      <c r="F35" s="4">
        <v>36128.987000000001</v>
      </c>
      <c r="G35" s="4">
        <v>14794.697</v>
      </c>
      <c r="H35" s="4">
        <v>6606.48</v>
      </c>
      <c r="I35">
        <f>EXP(0.727073+LN(F35)*(-0.0124787)+LN(G35)*(-0.00311931)+LN(H35)*(-0.00995239)+LN(E34)*0.972416)</f>
        <v>15358174.618346315</v>
      </c>
      <c r="J35" s="4">
        <v>11394009.677000001</v>
      </c>
    </row>
    <row r="36" spans="1:10" x14ac:dyDescent="0.3">
      <c r="A36" s="3" t="s">
        <v>57</v>
      </c>
      <c r="B36" s="3" t="s">
        <v>5</v>
      </c>
      <c r="C36" s="3">
        <v>344</v>
      </c>
      <c r="D36" s="3" t="s">
        <v>28</v>
      </c>
      <c r="E36" s="3">
        <v>2673191.2039999999</v>
      </c>
      <c r="F36" s="3">
        <v>27684.698</v>
      </c>
      <c r="G36" s="3">
        <v>14079.116</v>
      </c>
      <c r="H36" s="3">
        <v>792.85445352239196</v>
      </c>
      <c r="J36" s="3"/>
    </row>
    <row r="37" spans="1:10" x14ac:dyDescent="0.3">
      <c r="A37" s="3" t="s">
        <v>57</v>
      </c>
      <c r="B37" s="3" t="s">
        <v>5</v>
      </c>
      <c r="C37" s="3">
        <v>344</v>
      </c>
      <c r="D37" s="3" t="s">
        <v>25</v>
      </c>
      <c r="E37" s="3">
        <v>939847.17999999993</v>
      </c>
      <c r="F37" s="3">
        <v>29338.624</v>
      </c>
      <c r="G37" s="3">
        <v>14794.697</v>
      </c>
      <c r="H37" s="3">
        <v>792.85445352239196</v>
      </c>
      <c r="I37">
        <f>EXP(0.727073+LN(F37)*(-0.0124787)+LN(G37)*(-0.00311931)+LN(H37)*(-0.00995239)+LN(E36)*0.972416)</f>
        <v>2936980.2165000211</v>
      </c>
      <c r="J37" s="3">
        <v>939847.17999999993</v>
      </c>
    </row>
    <row r="38" spans="1:10" x14ac:dyDescent="0.3">
      <c r="A38" s="3" t="s">
        <v>58</v>
      </c>
      <c r="B38" s="3" t="s">
        <v>5</v>
      </c>
      <c r="C38" s="3">
        <v>354</v>
      </c>
      <c r="D38" s="3" t="s">
        <v>28</v>
      </c>
      <c r="E38" s="3">
        <v>1968842.6400000001</v>
      </c>
      <c r="F38" s="3">
        <v>13678.989</v>
      </c>
      <c r="G38" s="3">
        <v>14079.116</v>
      </c>
      <c r="H38" s="3">
        <v>10736.8653322789</v>
      </c>
      <c r="J38" s="3"/>
    </row>
    <row r="39" spans="1:10" x14ac:dyDescent="0.3">
      <c r="A39" s="3" t="s">
        <v>58</v>
      </c>
      <c r="B39" s="3" t="s">
        <v>5</v>
      </c>
      <c r="C39" s="3">
        <v>354</v>
      </c>
      <c r="D39" s="3" t="s">
        <v>25</v>
      </c>
      <c r="E39" s="3">
        <v>1399532.5760000001</v>
      </c>
      <c r="F39" s="3">
        <v>14006.661</v>
      </c>
      <c r="G39" s="3">
        <v>14794.697</v>
      </c>
      <c r="H39" s="3">
        <v>10736.8653322789</v>
      </c>
      <c r="I39">
        <f>EXP(0.727073+LN(F39)*(-0.0124787)+LN(G39)*(-0.00311931)+LN(H39)*(-0.00995239)+LN(E38)*0.972416)</f>
        <v>2145308.2237100923</v>
      </c>
      <c r="J39" s="3">
        <v>1399532.5760000001</v>
      </c>
    </row>
    <row r="40" spans="1:10" x14ac:dyDescent="0.3">
      <c r="A40" s="4" t="s">
        <v>59</v>
      </c>
      <c r="B40" s="4" t="s">
        <v>5</v>
      </c>
      <c r="C40" s="4">
        <v>363</v>
      </c>
      <c r="D40" s="4" t="s">
        <v>28</v>
      </c>
      <c r="E40" s="4">
        <v>457246.001246</v>
      </c>
      <c r="F40" s="4">
        <v>87276.15</v>
      </c>
      <c r="G40" s="4">
        <v>14079.116</v>
      </c>
      <c r="H40" s="4">
        <v>1649.17931816699</v>
      </c>
      <c r="J40" s="4"/>
    </row>
    <row r="41" spans="1:10" x14ac:dyDescent="0.3">
      <c r="A41" s="4" t="s">
        <v>59</v>
      </c>
      <c r="B41" s="4" t="s">
        <v>5</v>
      </c>
      <c r="C41" s="4">
        <v>363</v>
      </c>
      <c r="D41" s="4" t="s">
        <v>25</v>
      </c>
      <c r="E41" s="4">
        <v>293178.64575700002</v>
      </c>
      <c r="F41" s="4">
        <v>86611.172999999995</v>
      </c>
      <c r="G41" s="4">
        <v>14794.697</v>
      </c>
      <c r="H41" s="4">
        <v>1649.17931816699</v>
      </c>
      <c r="I41">
        <f>EXP(0.727073+LN(F41)*(-0.0124787)+LN(G41)*(-0.00311931)+LN(H41)*(-0.00995239)+LN(E40)*0.972416)</f>
        <v>516585.57008227333</v>
      </c>
      <c r="J41" s="4">
        <v>293178.64575700002</v>
      </c>
    </row>
    <row r="42" spans="1:10" x14ac:dyDescent="0.3">
      <c r="A42" s="4" t="s">
        <v>60</v>
      </c>
      <c r="B42" s="4" t="s">
        <v>5</v>
      </c>
      <c r="C42" s="4">
        <v>371</v>
      </c>
      <c r="D42" s="4" t="s">
        <v>28</v>
      </c>
      <c r="E42" s="4">
        <v>6615927.8250000002</v>
      </c>
      <c r="F42" s="4">
        <v>22030.582999999999</v>
      </c>
      <c r="G42" s="4">
        <v>14079.116</v>
      </c>
      <c r="H42" s="4">
        <v>1154.0338800131301</v>
      </c>
      <c r="J42" s="4"/>
    </row>
    <row r="43" spans="1:10" x14ac:dyDescent="0.3">
      <c r="A43" s="4" t="s">
        <v>60</v>
      </c>
      <c r="B43" s="4" t="s">
        <v>5</v>
      </c>
      <c r="C43" s="4">
        <v>371</v>
      </c>
      <c r="D43" s="4" t="s">
        <v>25</v>
      </c>
      <c r="E43" s="4">
        <v>4849590.8119999999</v>
      </c>
      <c r="F43" s="4">
        <v>24810.444</v>
      </c>
      <c r="G43" s="4">
        <v>14794.697</v>
      </c>
      <c r="H43" s="4">
        <v>1154.0338800131301</v>
      </c>
      <c r="I43">
        <f>EXP(0.727073+LN(F43)*(-0.0124787)+LN(G43)*(-0.00311931)+LN(H43)*(-0.00995239)+LN(E42)*0.972416)</f>
        <v>7077694.3245026739</v>
      </c>
      <c r="J43" s="4">
        <v>4849590.8119999999</v>
      </c>
    </row>
    <row r="44" spans="1:10" x14ac:dyDescent="0.3">
      <c r="A44" s="4" t="s">
        <v>5</v>
      </c>
      <c r="B44" s="4" t="s">
        <v>30</v>
      </c>
      <c r="C44" s="4">
        <v>379</v>
      </c>
      <c r="D44" s="4" t="s">
        <v>28</v>
      </c>
      <c r="E44" s="4">
        <v>3720889.8707109997</v>
      </c>
      <c r="F44" s="4">
        <v>14079.116</v>
      </c>
      <c r="G44" s="4">
        <v>31676.444</v>
      </c>
      <c r="H44" s="4">
        <v>3528.7658208035</v>
      </c>
      <c r="J44" s="4"/>
    </row>
    <row r="45" spans="1:10" x14ac:dyDescent="0.3">
      <c r="A45" s="4" t="s">
        <v>5</v>
      </c>
      <c r="B45" s="4" t="s">
        <v>30</v>
      </c>
      <c r="C45" s="4">
        <v>379</v>
      </c>
      <c r="D45" s="4" t="s">
        <v>25</v>
      </c>
      <c r="E45" s="4">
        <v>3720889.8707109997</v>
      </c>
      <c r="F45" s="4">
        <v>14794.697</v>
      </c>
      <c r="G45" s="4">
        <v>30746.453000000001</v>
      </c>
      <c r="H45" s="4">
        <v>3528.7658208035</v>
      </c>
      <c r="I45">
        <f>EXP(0.727073+LN(F45)*(-0.0124787)+LN(G45)*(-0.00311931)+LN(H45)*(-0.00995239)+LN(E44)*0.972416)</f>
        <v>4016263.8256869363</v>
      </c>
      <c r="J45" s="4">
        <v>3720889.8707109997</v>
      </c>
    </row>
    <row r="46" spans="1:10" x14ac:dyDescent="0.3">
      <c r="A46" s="3" t="s">
        <v>5</v>
      </c>
      <c r="B46" s="3" t="s">
        <v>31</v>
      </c>
      <c r="C46" s="3">
        <v>380</v>
      </c>
      <c r="D46" s="3" t="s">
        <v>28</v>
      </c>
      <c r="E46" s="3">
        <v>805576.86285199993</v>
      </c>
      <c r="F46" s="3">
        <v>14079.116</v>
      </c>
      <c r="G46" s="3">
        <v>6111.7460000000001</v>
      </c>
      <c r="H46" s="3">
        <v>10102.907887278599</v>
      </c>
      <c r="J46" s="3"/>
    </row>
    <row r="47" spans="1:10" x14ac:dyDescent="0.3">
      <c r="A47" s="3" t="s">
        <v>5</v>
      </c>
      <c r="B47" s="3" t="s">
        <v>31</v>
      </c>
      <c r="C47" s="3">
        <v>380</v>
      </c>
      <c r="D47" s="3" t="s">
        <v>25</v>
      </c>
      <c r="E47" s="3">
        <v>858330.25919100014</v>
      </c>
      <c r="F47" s="3">
        <v>14794.697</v>
      </c>
      <c r="G47" s="3">
        <v>6331.9129999999996</v>
      </c>
      <c r="H47" s="3">
        <v>10102.907887278599</v>
      </c>
      <c r="I47">
        <f>EXP(0.727073+LN(F47)*(-0.0124787)+LN(G47)*(-0.00311931)+LN(H47)*(-0.00995239)+LN(E46)*0.972416)</f>
        <v>902001.4593216324</v>
      </c>
      <c r="J47" s="3">
        <v>858330.25919100014</v>
      </c>
    </row>
    <row r="48" spans="1:10" x14ac:dyDescent="0.3">
      <c r="A48" s="4" t="s">
        <v>5</v>
      </c>
      <c r="B48" s="4" t="s">
        <v>32</v>
      </c>
      <c r="C48" s="4">
        <v>381</v>
      </c>
      <c r="D48" s="4" t="s">
        <v>28</v>
      </c>
      <c r="E48" s="4">
        <v>56506171.816</v>
      </c>
      <c r="F48" s="4">
        <v>14079.116</v>
      </c>
      <c r="G48" s="4">
        <v>13244.053</v>
      </c>
      <c r="H48" s="4">
        <v>1756.8422458146099</v>
      </c>
      <c r="J48" s="4"/>
    </row>
    <row r="49" spans="1:10" x14ac:dyDescent="0.3">
      <c r="A49" s="4" t="s">
        <v>5</v>
      </c>
      <c r="B49" s="4" t="s">
        <v>32</v>
      </c>
      <c r="C49" s="4">
        <v>381</v>
      </c>
      <c r="D49" s="4" t="s">
        <v>25</v>
      </c>
      <c r="E49" s="4">
        <v>52584801.645000003</v>
      </c>
      <c r="F49" s="4">
        <v>14794.697</v>
      </c>
      <c r="G49" s="4">
        <v>15463.289000000001</v>
      </c>
      <c r="H49" s="4">
        <v>1756.8422458146099</v>
      </c>
      <c r="I49">
        <f>EXP(0.727073+LN(F49)*(-0.0124787)+LN(G49)*(-0.00311931)+LN(H49)*(-0.00995239)+LN(E48)*0.972416)</f>
        <v>57098905.660337828</v>
      </c>
      <c r="J49" s="4">
        <v>52584801.645000003</v>
      </c>
    </row>
    <row r="50" spans="1:10" x14ac:dyDescent="0.3">
      <c r="A50" s="3" t="s">
        <v>5</v>
      </c>
      <c r="B50" s="3" t="s">
        <v>33</v>
      </c>
      <c r="C50" s="3">
        <v>382</v>
      </c>
      <c r="D50" s="3" t="s">
        <v>28</v>
      </c>
      <c r="E50" s="3">
        <v>262039.64726500001</v>
      </c>
      <c r="F50" s="3">
        <v>14079.116</v>
      </c>
      <c r="G50" s="3">
        <v>5253.7560000000003</v>
      </c>
      <c r="H50" s="3">
        <v>756.29413636589697</v>
      </c>
      <c r="J50" s="3"/>
    </row>
    <row r="51" spans="1:10" x14ac:dyDescent="0.3">
      <c r="A51" s="3" t="s">
        <v>5</v>
      </c>
      <c r="B51" s="3" t="s">
        <v>33</v>
      </c>
      <c r="C51" s="3">
        <v>382</v>
      </c>
      <c r="D51" s="3" t="s">
        <v>25</v>
      </c>
      <c r="E51" s="3">
        <v>23930.870289999999</v>
      </c>
      <c r="F51" s="3">
        <v>14794.697</v>
      </c>
      <c r="G51" s="3">
        <v>5711.1639999999998</v>
      </c>
      <c r="H51" s="3">
        <v>756.29413636589697</v>
      </c>
      <c r="I51">
        <f>EXP(0.727073+LN(F51)*(-0.0124787)+LN(G51)*(-0.00311931)+LN(H51)*(-0.00995239)+LN(E50)*0.972416)</f>
        <v>310645.32219231006</v>
      </c>
      <c r="J51" s="3">
        <v>23930.870289999999</v>
      </c>
    </row>
    <row r="52" spans="1:10" x14ac:dyDescent="0.3">
      <c r="A52" s="4" t="s">
        <v>5</v>
      </c>
      <c r="B52" s="4" t="s">
        <v>34</v>
      </c>
      <c r="C52" s="4">
        <v>383</v>
      </c>
      <c r="D52" s="4" t="s">
        <v>28</v>
      </c>
      <c r="E52" s="4">
        <v>10939567.140068</v>
      </c>
      <c r="F52" s="4">
        <v>14079.116</v>
      </c>
      <c r="G52" s="4">
        <v>48146.063000000002</v>
      </c>
      <c r="H52" s="4">
        <v>3679.0162332679902</v>
      </c>
      <c r="J52" s="4"/>
    </row>
    <row r="53" spans="1:10" x14ac:dyDescent="0.3">
      <c r="A53" s="4" t="s">
        <v>5</v>
      </c>
      <c r="B53" s="4" t="s">
        <v>34</v>
      </c>
      <c r="C53" s="4">
        <v>383</v>
      </c>
      <c r="D53" s="4" t="s">
        <v>25</v>
      </c>
      <c r="E53" s="4">
        <v>10939567.140068</v>
      </c>
      <c r="F53" s="4">
        <v>14794.697</v>
      </c>
      <c r="G53" s="4">
        <v>48830.171000000002</v>
      </c>
      <c r="H53" s="4">
        <v>3679.0162332679902</v>
      </c>
      <c r="I53">
        <f>EXP(0.727073+LN(F53)*(-0.0124787)+LN(G53)*(-0.00311931)+LN(H53)*(-0.00995239)+LN(E52)*0.972416)</f>
        <v>11440621.632201653</v>
      </c>
      <c r="J53" s="4">
        <v>10939567.140068</v>
      </c>
    </row>
    <row r="54" spans="1:10" x14ac:dyDescent="0.3">
      <c r="A54" s="3" t="s">
        <v>5</v>
      </c>
      <c r="B54" s="3" t="s">
        <v>35</v>
      </c>
      <c r="C54" s="3">
        <v>384</v>
      </c>
      <c r="D54" s="3" t="s">
        <v>28</v>
      </c>
      <c r="E54" s="3">
        <v>1167391.4318349999</v>
      </c>
      <c r="F54" s="3">
        <v>14079.116</v>
      </c>
      <c r="G54" s="3">
        <v>49213.398999999998</v>
      </c>
      <c r="H54" s="3">
        <v>2508.3121995399802</v>
      </c>
      <c r="J54" s="3"/>
    </row>
    <row r="55" spans="1:10" x14ac:dyDescent="0.3">
      <c r="A55" s="3" t="s">
        <v>5</v>
      </c>
      <c r="B55" s="3" t="s">
        <v>35</v>
      </c>
      <c r="C55" s="3">
        <v>384</v>
      </c>
      <c r="D55" s="3" t="s">
        <v>25</v>
      </c>
      <c r="E55" s="3">
        <v>1188468.8849180001</v>
      </c>
      <c r="F55" s="3">
        <v>14794.697</v>
      </c>
      <c r="G55" s="3">
        <v>52648.186999999998</v>
      </c>
      <c r="H55" s="3">
        <v>2508.3121995399802</v>
      </c>
      <c r="I55">
        <f>EXP(0.727073+LN(F55)*(-0.0124787)+LN(G55)*(-0.00311931)+LN(H55)*(-0.00995239)+LN(E54)*0.972416)</f>
        <v>1303242.5794407316</v>
      </c>
      <c r="J55" s="3">
        <v>1188468.8849180001</v>
      </c>
    </row>
    <row r="56" spans="1:10" x14ac:dyDescent="0.3">
      <c r="A56" s="4" t="s">
        <v>5</v>
      </c>
      <c r="B56" s="4" t="s">
        <v>6</v>
      </c>
      <c r="C56" s="4">
        <v>385</v>
      </c>
      <c r="D56" s="4" t="s">
        <v>28</v>
      </c>
      <c r="E56" s="4">
        <v>5499714.6849999996</v>
      </c>
      <c r="F56" s="4">
        <v>14079.116</v>
      </c>
      <c r="G56" s="4">
        <v>82253.907000000007</v>
      </c>
      <c r="H56" s="4">
        <v>7531.1729722250402</v>
      </c>
      <c r="J56" s="4"/>
    </row>
    <row r="57" spans="1:10" x14ac:dyDescent="0.3">
      <c r="A57" s="4" t="s">
        <v>5</v>
      </c>
      <c r="B57" s="4" t="s">
        <v>6</v>
      </c>
      <c r="C57" s="4">
        <v>385</v>
      </c>
      <c r="D57" s="4" t="s">
        <v>25</v>
      </c>
      <c r="E57" s="4">
        <v>3798112.3509999998</v>
      </c>
      <c r="F57" s="4">
        <v>14794.697</v>
      </c>
      <c r="G57" s="4">
        <v>85812.176000000007</v>
      </c>
      <c r="H57" s="4">
        <v>7531.1729722250402</v>
      </c>
      <c r="I57">
        <f>EXP(0.727073+LN(F57)*(-0.0124787)+LN(G57)*(-0.00311931)+LN(H57)*(-0.00995239)+LN(E56)*0.972416)</f>
        <v>5809885.7024406465</v>
      </c>
      <c r="J57" s="4">
        <v>3798112.3509999998</v>
      </c>
    </row>
    <row r="58" spans="1:10" x14ac:dyDescent="0.3">
      <c r="A58" s="3" t="s">
        <v>5</v>
      </c>
      <c r="B58" s="17" t="s">
        <v>36</v>
      </c>
      <c r="C58" s="3">
        <v>470</v>
      </c>
      <c r="D58" s="3" t="s">
        <v>28</v>
      </c>
      <c r="E58" s="3">
        <v>4356663.60525</v>
      </c>
      <c r="F58" s="3">
        <v>14079.116</v>
      </c>
      <c r="G58" s="3">
        <v>7151.9459999999999</v>
      </c>
      <c r="H58" s="3">
        <v>1932.3583487624601</v>
      </c>
      <c r="J58" s="3"/>
    </row>
    <row r="59" spans="1:10" x14ac:dyDescent="0.3">
      <c r="A59" s="3" t="s">
        <v>5</v>
      </c>
      <c r="B59" s="17" t="s">
        <v>36</v>
      </c>
      <c r="C59" s="3">
        <v>470</v>
      </c>
      <c r="D59" s="3" t="s">
        <v>25</v>
      </c>
      <c r="E59" s="3">
        <v>4798993.0606899997</v>
      </c>
      <c r="F59" s="3">
        <v>14794.697</v>
      </c>
      <c r="G59" s="3">
        <v>7251.3029999999999</v>
      </c>
      <c r="H59" s="3">
        <v>1932.3583487624601</v>
      </c>
      <c r="I59">
        <f>EXP(0.727073+LN(F59)*(-0.0124787)+LN(G59)*(-0.00311931)+LN(H59)*(-0.00995239)+LN(E58)*0.972416)</f>
        <v>4731508.5771259815</v>
      </c>
      <c r="J59" s="3">
        <v>4798993.0606899997</v>
      </c>
    </row>
    <row r="60" spans="1:10" x14ac:dyDescent="0.3">
      <c r="A60" s="4" t="s">
        <v>5</v>
      </c>
      <c r="B60" s="18" t="s">
        <v>37</v>
      </c>
      <c r="C60" s="4">
        <v>471</v>
      </c>
      <c r="D60" s="4" t="s">
        <v>28</v>
      </c>
      <c r="E60" s="4">
        <v>2401825.2080600001</v>
      </c>
      <c r="F60" s="4">
        <v>14079.116</v>
      </c>
      <c r="G60" s="4">
        <v>8237.4159999999993</v>
      </c>
      <c r="H60" s="4">
        <v>1648.8862614111699</v>
      </c>
      <c r="J60" s="4"/>
    </row>
    <row r="61" spans="1:10" x14ac:dyDescent="0.3">
      <c r="A61" s="4" t="s">
        <v>5</v>
      </c>
      <c r="B61" s="18" t="s">
        <v>37</v>
      </c>
      <c r="C61" s="4">
        <v>471</v>
      </c>
      <c r="D61" s="4" t="s">
        <v>25</v>
      </c>
      <c r="E61" s="4">
        <v>2531237.7913309997</v>
      </c>
      <c r="F61" s="4">
        <v>14794.697</v>
      </c>
      <c r="G61" s="4">
        <v>9141.8459999999995</v>
      </c>
      <c r="H61" s="4">
        <v>1648.8862614111699</v>
      </c>
      <c r="I61">
        <f>EXP(0.727073+LN(F61)*(-0.0124787)+LN(G61)*(-0.00311931)+LN(H61)*(-0.00995239)+LN(E60)*0.972416)</f>
        <v>2653947.9714735346</v>
      </c>
      <c r="J61" s="4">
        <v>2531237.7913309997</v>
      </c>
    </row>
    <row r="62" spans="1:10" x14ac:dyDescent="0.3">
      <c r="A62" s="3" t="s">
        <v>5</v>
      </c>
      <c r="B62" s="17" t="s">
        <v>38</v>
      </c>
      <c r="C62" s="3">
        <v>472</v>
      </c>
      <c r="D62" s="3" t="s">
        <v>28</v>
      </c>
      <c r="E62" s="3">
        <v>1878764.843169</v>
      </c>
      <c r="F62" s="3">
        <v>14079.116</v>
      </c>
      <c r="G62" s="3">
        <v>22615.109</v>
      </c>
      <c r="H62" s="3">
        <v>844.36031573917501</v>
      </c>
      <c r="J62" s="3"/>
    </row>
    <row r="63" spans="1:10" x14ac:dyDescent="0.3">
      <c r="A63" s="3" t="s">
        <v>5</v>
      </c>
      <c r="B63" s="17" t="s">
        <v>38</v>
      </c>
      <c r="C63" s="3">
        <v>472</v>
      </c>
      <c r="D63" s="3" t="s">
        <v>25</v>
      </c>
      <c r="E63" s="3">
        <v>1541085.136717</v>
      </c>
      <c r="F63" s="3">
        <v>14794.697</v>
      </c>
      <c r="G63" s="3">
        <v>23242.741999999998</v>
      </c>
      <c r="H63" s="3">
        <v>844.36031573917501</v>
      </c>
      <c r="I63">
        <f>EXP(0.727073+LN(F63)*(-0.0124787)+LN(G63)*(-0.00311931)+LN(H63)*(-0.00995239)+LN(E62)*0.972416)</f>
        <v>2097946.7800347852</v>
      </c>
      <c r="J63" s="3">
        <v>1541085.136717</v>
      </c>
    </row>
  </sheetData>
  <autoFilter ref="A1:J63" xr:uid="{B7C22D6D-9477-4AE8-9C73-699D0034E9D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686CD-9DD0-47ED-BA73-2D1E5319422E}">
  <dimension ref="A1:D32"/>
  <sheetViews>
    <sheetView workbookViewId="0">
      <selection sqref="A1:A1048576"/>
    </sheetView>
  </sheetViews>
  <sheetFormatPr defaultRowHeight="14.4" x14ac:dyDescent="0.3"/>
  <cols>
    <col min="1" max="1" width="8.88671875" style="28"/>
    <col min="2" max="2" width="19.6640625" bestFit="1" customWidth="1"/>
    <col min="3" max="3" width="23.77734375" bestFit="1" customWidth="1"/>
    <col min="4" max="4" width="12.6640625" bestFit="1" customWidth="1"/>
  </cols>
  <sheetData>
    <row r="1" spans="1:4" ht="15.6" x14ac:dyDescent="0.3">
      <c r="A1" s="24" t="s">
        <v>61</v>
      </c>
      <c r="B1" s="19" t="s">
        <v>62</v>
      </c>
      <c r="C1" s="19" t="s">
        <v>63</v>
      </c>
      <c r="D1" s="24" t="s">
        <v>77</v>
      </c>
    </row>
    <row r="2" spans="1:4" x14ac:dyDescent="0.3">
      <c r="A2" s="25" t="s">
        <v>40</v>
      </c>
      <c r="B2" s="20">
        <v>489551.23333000002</v>
      </c>
      <c r="C2" s="21">
        <v>463968.55124955595</v>
      </c>
      <c r="D2">
        <f>B2-C2</f>
        <v>25582.682080444065</v>
      </c>
    </row>
    <row r="3" spans="1:4" x14ac:dyDescent="0.3">
      <c r="A3" s="25" t="s">
        <v>41</v>
      </c>
      <c r="B3" s="20">
        <v>3649.8942259999999</v>
      </c>
      <c r="C3" s="21">
        <v>13760.75694068628</v>
      </c>
      <c r="D3">
        <f>B3-C3</f>
        <v>-10110.86271468628</v>
      </c>
    </row>
    <row r="4" spans="1:4" x14ac:dyDescent="0.3">
      <c r="A4" s="25" t="s">
        <v>42</v>
      </c>
      <c r="B4" s="20">
        <v>27589528.100000001</v>
      </c>
      <c r="C4" s="21">
        <v>28941279.489470337</v>
      </c>
      <c r="D4">
        <f t="shared" ref="D4:D32" si="0">B4-C4</f>
        <v>-1351751.3894703351</v>
      </c>
    </row>
    <row r="5" spans="1:4" x14ac:dyDescent="0.3">
      <c r="A5" s="25" t="s">
        <v>43</v>
      </c>
      <c r="B5" s="20">
        <v>13657393.814999999</v>
      </c>
      <c r="C5" s="21">
        <v>12959709.772951953</v>
      </c>
      <c r="D5">
        <f t="shared" si="0"/>
        <v>697684.04204804637</v>
      </c>
    </row>
    <row r="6" spans="1:4" x14ac:dyDescent="0.3">
      <c r="A6" s="25" t="s">
        <v>44</v>
      </c>
      <c r="B6" s="20">
        <v>2557984.2898639995</v>
      </c>
      <c r="C6" s="21">
        <v>2379937.9365698704</v>
      </c>
      <c r="D6">
        <f t="shared" si="0"/>
        <v>178046.35329412902</v>
      </c>
    </row>
    <row r="7" spans="1:4" x14ac:dyDescent="0.3">
      <c r="A7" s="26" t="s">
        <v>45</v>
      </c>
      <c r="B7" s="20">
        <v>240140987.10100001</v>
      </c>
      <c r="C7" s="21">
        <v>230370815.4507463</v>
      </c>
      <c r="D7">
        <f t="shared" si="0"/>
        <v>9770171.6502537131</v>
      </c>
    </row>
    <row r="8" spans="1:4" x14ac:dyDescent="0.3">
      <c r="A8" s="25" t="s">
        <v>46</v>
      </c>
      <c r="B8" s="20">
        <v>6613969.2323150001</v>
      </c>
      <c r="C8" s="21">
        <v>5979001.3190613259</v>
      </c>
      <c r="D8">
        <f t="shared" si="0"/>
        <v>634967.91325367428</v>
      </c>
    </row>
    <row r="9" spans="1:4" x14ac:dyDescent="0.3">
      <c r="A9" s="25" t="s">
        <v>47</v>
      </c>
      <c r="B9" s="20">
        <v>1209329.0483299999</v>
      </c>
      <c r="C9" s="21">
        <v>1538730.9094828141</v>
      </c>
      <c r="D9">
        <f t="shared" si="0"/>
        <v>-329401.86115281424</v>
      </c>
    </row>
    <row r="10" spans="1:4" x14ac:dyDescent="0.3">
      <c r="A10" s="25" t="s">
        <v>48</v>
      </c>
      <c r="B10" s="20">
        <v>490170.06875099998</v>
      </c>
      <c r="C10" s="21">
        <v>435928.69220277545</v>
      </c>
      <c r="D10">
        <f t="shared" si="0"/>
        <v>54241.376548224536</v>
      </c>
    </row>
    <row r="11" spans="1:4" x14ac:dyDescent="0.3">
      <c r="A11" s="25" t="s">
        <v>49</v>
      </c>
      <c r="B11" s="20">
        <v>9861335.9502420016</v>
      </c>
      <c r="C11" s="21">
        <v>10274359.706354238</v>
      </c>
      <c r="D11">
        <f t="shared" si="0"/>
        <v>-413023.75611223653</v>
      </c>
    </row>
    <row r="12" spans="1:4" x14ac:dyDescent="0.3">
      <c r="A12" s="25" t="s">
        <v>50</v>
      </c>
      <c r="B12" s="20">
        <v>10707039.852978999</v>
      </c>
      <c r="C12" s="21">
        <v>14638285.784203392</v>
      </c>
      <c r="D12">
        <f t="shared" si="0"/>
        <v>-3931245.9312243927</v>
      </c>
    </row>
    <row r="13" spans="1:4" x14ac:dyDescent="0.3">
      <c r="A13" s="25" t="s">
        <v>51</v>
      </c>
      <c r="B13" s="20">
        <v>71994470.271828994</v>
      </c>
      <c r="C13" s="21">
        <v>72199042.464518085</v>
      </c>
      <c r="D13">
        <f t="shared" si="0"/>
        <v>-204572.19268909097</v>
      </c>
    </row>
    <row r="14" spans="1:4" x14ac:dyDescent="0.3">
      <c r="A14" s="25" t="s">
        <v>52</v>
      </c>
      <c r="B14" s="20">
        <v>3346723.5946850004</v>
      </c>
      <c r="C14" s="21">
        <v>3645778.2578960052</v>
      </c>
      <c r="D14">
        <f t="shared" si="0"/>
        <v>-299054.66321100481</v>
      </c>
    </row>
    <row r="15" spans="1:4" x14ac:dyDescent="0.3">
      <c r="A15" s="25" t="s">
        <v>53</v>
      </c>
      <c r="B15" s="20">
        <v>8429792.338812001</v>
      </c>
      <c r="C15" s="21">
        <v>9859220.1104428004</v>
      </c>
      <c r="D15">
        <f t="shared" si="0"/>
        <v>-1429427.7716307994</v>
      </c>
    </row>
    <row r="16" spans="1:4" x14ac:dyDescent="0.3">
      <c r="A16" s="25" t="s">
        <v>54</v>
      </c>
      <c r="B16" s="20">
        <v>7848815.009513</v>
      </c>
      <c r="C16" s="21">
        <v>10542010.493408276</v>
      </c>
      <c r="D16">
        <f t="shared" si="0"/>
        <v>-2693195.4838952757</v>
      </c>
    </row>
    <row r="17" spans="1:4" x14ac:dyDescent="0.3">
      <c r="A17" s="25" t="s">
        <v>55</v>
      </c>
      <c r="B17" s="20">
        <v>25980387.409370001</v>
      </c>
      <c r="C17" s="21">
        <v>26687937.359960034</v>
      </c>
      <c r="D17">
        <f t="shared" si="0"/>
        <v>-707549.95059003308</v>
      </c>
    </row>
    <row r="18" spans="1:4" x14ac:dyDescent="0.3">
      <c r="A18" s="25" t="s">
        <v>56</v>
      </c>
      <c r="B18" s="20">
        <v>11394009.677000001</v>
      </c>
      <c r="C18" s="21">
        <v>15358174.618346315</v>
      </c>
      <c r="D18">
        <f t="shared" si="0"/>
        <v>-3964164.9413463138</v>
      </c>
    </row>
    <row r="19" spans="1:4" x14ac:dyDescent="0.3">
      <c r="A19" s="25" t="s">
        <v>57</v>
      </c>
      <c r="B19" s="20">
        <v>939847.17999999993</v>
      </c>
      <c r="C19" s="21">
        <v>2936980.2165000211</v>
      </c>
      <c r="D19">
        <f t="shared" si="0"/>
        <v>-1997133.0365000211</v>
      </c>
    </row>
    <row r="20" spans="1:4" x14ac:dyDescent="0.3">
      <c r="A20" s="25" t="s">
        <v>58</v>
      </c>
      <c r="B20" s="20">
        <v>1399532.5760000001</v>
      </c>
      <c r="C20" s="21">
        <v>2145308.2237100923</v>
      </c>
      <c r="D20">
        <f t="shared" si="0"/>
        <v>-745775.64771009213</v>
      </c>
    </row>
    <row r="21" spans="1:4" x14ac:dyDescent="0.3">
      <c r="A21" s="25" t="s">
        <v>59</v>
      </c>
      <c r="B21" s="20">
        <v>293178.64575700002</v>
      </c>
      <c r="C21" s="21">
        <v>516585.57008227333</v>
      </c>
      <c r="D21">
        <f t="shared" si="0"/>
        <v>-223406.92432527331</v>
      </c>
    </row>
    <row r="22" spans="1:4" x14ac:dyDescent="0.3">
      <c r="A22" s="25" t="s">
        <v>60</v>
      </c>
      <c r="B22" s="20">
        <v>4849590.8119999999</v>
      </c>
      <c r="C22" s="21">
        <v>7077694.3245026739</v>
      </c>
      <c r="D22">
        <f t="shared" si="0"/>
        <v>-2228103.512502674</v>
      </c>
    </row>
    <row r="23" spans="1:4" x14ac:dyDescent="0.3">
      <c r="A23" s="25" t="s">
        <v>30</v>
      </c>
      <c r="B23" s="20">
        <v>3720889.8707109997</v>
      </c>
      <c r="C23" s="21">
        <v>4016263.8256869363</v>
      </c>
      <c r="D23">
        <f t="shared" si="0"/>
        <v>-295373.95497593656</v>
      </c>
    </row>
    <row r="24" spans="1:4" x14ac:dyDescent="0.3">
      <c r="A24" s="25" t="s">
        <v>31</v>
      </c>
      <c r="B24" s="20">
        <v>858330.25919100014</v>
      </c>
      <c r="C24" s="21">
        <v>902001.4593216324</v>
      </c>
      <c r="D24">
        <f t="shared" si="0"/>
        <v>-43671.200130632264</v>
      </c>
    </row>
    <row r="25" spans="1:4" x14ac:dyDescent="0.3">
      <c r="A25" s="25" t="s">
        <v>32</v>
      </c>
      <c r="B25" s="20">
        <v>52584801.645000003</v>
      </c>
      <c r="C25" s="21">
        <v>57098905.660337828</v>
      </c>
      <c r="D25">
        <f t="shared" si="0"/>
        <v>-4514104.0153378248</v>
      </c>
    </row>
    <row r="26" spans="1:4" x14ac:dyDescent="0.3">
      <c r="A26" s="25" t="s">
        <v>33</v>
      </c>
      <c r="B26" s="20">
        <v>23930.870289999999</v>
      </c>
      <c r="C26" s="21">
        <v>310645.32219231006</v>
      </c>
      <c r="D26">
        <f t="shared" si="0"/>
        <v>-286714.45190231007</v>
      </c>
    </row>
    <row r="27" spans="1:4" x14ac:dyDescent="0.3">
      <c r="A27" s="25" t="s">
        <v>34</v>
      </c>
      <c r="B27" s="20">
        <v>10939567.140068</v>
      </c>
      <c r="C27" s="21">
        <v>11440621.632201653</v>
      </c>
      <c r="D27">
        <f t="shared" si="0"/>
        <v>-501054.49213365279</v>
      </c>
    </row>
    <row r="28" spans="1:4" x14ac:dyDescent="0.3">
      <c r="A28" s="25" t="s">
        <v>35</v>
      </c>
      <c r="B28" s="20">
        <v>1188468.8849180001</v>
      </c>
      <c r="C28" s="21">
        <v>1303242.5794407316</v>
      </c>
      <c r="D28">
        <f t="shared" si="0"/>
        <v>-114773.69452273147</v>
      </c>
    </row>
    <row r="29" spans="1:4" x14ac:dyDescent="0.3">
      <c r="A29" s="25" t="s">
        <v>6</v>
      </c>
      <c r="B29" s="20">
        <v>3798112.3509999998</v>
      </c>
      <c r="C29" s="21">
        <v>5809885.7024406465</v>
      </c>
      <c r="D29">
        <f t="shared" si="0"/>
        <v>-2011773.3514406467</v>
      </c>
    </row>
    <row r="30" spans="1:4" x14ac:dyDescent="0.3">
      <c r="A30" s="26" t="s">
        <v>36</v>
      </c>
      <c r="B30" s="20">
        <v>4798993.0606899997</v>
      </c>
      <c r="C30" s="21">
        <v>4731508.5771259815</v>
      </c>
      <c r="D30">
        <f t="shared" si="0"/>
        <v>67484.483564018272</v>
      </c>
    </row>
    <row r="31" spans="1:4" x14ac:dyDescent="0.3">
      <c r="A31" s="26" t="s">
        <v>37</v>
      </c>
      <c r="B31" s="20">
        <v>2531237.7913309997</v>
      </c>
      <c r="C31" s="21">
        <v>2653947.9714735346</v>
      </c>
      <c r="D31">
        <f t="shared" si="0"/>
        <v>-122710.1801425349</v>
      </c>
    </row>
    <row r="32" spans="1:4" x14ac:dyDescent="0.3">
      <c r="A32" s="27" t="s">
        <v>38</v>
      </c>
      <c r="B32" s="20">
        <v>1541085.136717</v>
      </c>
      <c r="C32" s="21">
        <v>2097946.7800347852</v>
      </c>
      <c r="D32">
        <f t="shared" si="0"/>
        <v>-556861.64331778511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4E875-5E7C-44CD-9016-818D4F3C9932}">
  <dimension ref="A1:L32"/>
  <sheetViews>
    <sheetView zoomScale="80" zoomScaleNormal="80" workbookViewId="0">
      <selection activeCell="B1" sqref="B1:B1048576"/>
    </sheetView>
  </sheetViews>
  <sheetFormatPr defaultRowHeight="14.4" x14ac:dyDescent="0.3"/>
  <cols>
    <col min="2" max="2" width="8.88671875" style="28"/>
    <col min="7" max="7" width="7.5546875" bestFit="1" customWidth="1"/>
    <col min="9" max="9" width="13.44140625" customWidth="1"/>
    <col min="11" max="12" width="15.21875" bestFit="1" customWidth="1"/>
  </cols>
  <sheetData>
    <row r="1" spans="1:12" ht="18.600000000000001" customHeight="1" x14ac:dyDescent="0.3">
      <c r="A1" s="14" t="s">
        <v>3</v>
      </c>
      <c r="B1" s="29" t="s">
        <v>4</v>
      </c>
      <c r="C1">
        <v>2024</v>
      </c>
      <c r="D1" t="s">
        <v>64</v>
      </c>
      <c r="E1" t="s">
        <v>65</v>
      </c>
      <c r="F1" s="16" t="s">
        <v>0</v>
      </c>
      <c r="G1" s="14" t="s">
        <v>66</v>
      </c>
      <c r="H1" s="16" t="s">
        <v>69</v>
      </c>
      <c r="I1" t="s">
        <v>74</v>
      </c>
      <c r="K1" t="s">
        <v>72</v>
      </c>
      <c r="L1" t="s">
        <v>73</v>
      </c>
    </row>
    <row r="2" spans="1:12" x14ac:dyDescent="0.3">
      <c r="A2" s="3" t="s">
        <v>5</v>
      </c>
      <c r="B2" s="23" t="s">
        <v>40</v>
      </c>
      <c r="C2">
        <v>489551.23333000002</v>
      </c>
      <c r="D2">
        <v>14257.844999999999</v>
      </c>
      <c r="E2">
        <v>14362.246999999999</v>
      </c>
      <c r="F2" s="3">
        <v>13459.278964486401</v>
      </c>
      <c r="G2" s="3">
        <v>1</v>
      </c>
      <c r="H2" s="3">
        <v>0</v>
      </c>
      <c r="I2">
        <f>EXP(0.80461+LN(D2)*(0.0240873)+LN(E2)*(0.0643452)+LN(F2)*(-0.0234327)+LN(C2)*0.904871+(G2)*(-0.0991519)+(H2)*0.283195)</f>
        <v>531756.76097043871</v>
      </c>
      <c r="K2">
        <v>489551233.33000004</v>
      </c>
      <c r="L2">
        <v>531756760.97043872</v>
      </c>
    </row>
    <row r="3" spans="1:12" x14ac:dyDescent="0.3">
      <c r="A3" s="3" t="s">
        <v>5</v>
      </c>
      <c r="B3" s="23" t="s">
        <v>41</v>
      </c>
      <c r="C3">
        <v>3649.8942259999999</v>
      </c>
      <c r="D3">
        <v>14257.844999999999</v>
      </c>
      <c r="E3">
        <v>64547.097999999998</v>
      </c>
      <c r="F3" s="3">
        <v>14484.007190910999</v>
      </c>
      <c r="G3" s="3">
        <v>1</v>
      </c>
      <c r="H3" s="3">
        <v>0</v>
      </c>
      <c r="I3">
        <f t="shared" ref="I3:I32" si="0">EXP(0.80461+LN(D3)*(0.0240873)+LN(E3)*(0.0643452)+LN(F3)*(-0.0234327)+LN(C3)*0.904871+(G3)*(-0.0991519)+(H3)*0.283195)</f>
        <v>6947.5589852364137</v>
      </c>
      <c r="K3">
        <v>3649894.2259999998</v>
      </c>
      <c r="L3">
        <v>6947558.9852364138</v>
      </c>
    </row>
    <row r="4" spans="1:12" x14ac:dyDescent="0.3">
      <c r="A4" s="3" t="s">
        <v>5</v>
      </c>
      <c r="B4" s="30" t="s">
        <v>36</v>
      </c>
      <c r="C4">
        <v>4798993.0606899997</v>
      </c>
      <c r="D4">
        <v>14257.844999999999</v>
      </c>
      <c r="E4">
        <v>7604.3819999999996</v>
      </c>
      <c r="F4" s="3">
        <v>1932.3583487624601</v>
      </c>
      <c r="G4" s="3">
        <v>1</v>
      </c>
      <c r="H4" s="3">
        <v>0</v>
      </c>
      <c r="I4">
        <f t="shared" si="0"/>
        <v>4214455.0122623732</v>
      </c>
      <c r="K4">
        <v>4798993060.6899996</v>
      </c>
      <c r="L4">
        <v>4214455012.2623734</v>
      </c>
    </row>
    <row r="5" spans="1:12" x14ac:dyDescent="0.3">
      <c r="A5" s="3" t="s">
        <v>5</v>
      </c>
      <c r="B5" s="23" t="s">
        <v>42</v>
      </c>
      <c r="C5">
        <v>27589528.100000001</v>
      </c>
      <c r="D5">
        <v>14257.844999999999</v>
      </c>
      <c r="E5">
        <v>7875.3580000000002</v>
      </c>
      <c r="F5" s="3">
        <v>677.24690223242999</v>
      </c>
      <c r="G5" s="3">
        <v>1</v>
      </c>
      <c r="H5" s="3">
        <v>0</v>
      </c>
      <c r="I5">
        <f t="shared" si="0"/>
        <v>21072907.403350517</v>
      </c>
      <c r="K5">
        <v>27589528100</v>
      </c>
      <c r="L5">
        <v>21072907403.350517</v>
      </c>
    </row>
    <row r="6" spans="1:12" x14ac:dyDescent="0.3">
      <c r="A6" s="3" t="s">
        <v>5</v>
      </c>
      <c r="B6" s="23" t="s">
        <v>43</v>
      </c>
      <c r="C6">
        <v>13657393.814999999</v>
      </c>
      <c r="D6">
        <v>14257.844999999999</v>
      </c>
      <c r="E6">
        <v>9964.1</v>
      </c>
      <c r="F6" s="3">
        <v>11790.985784417901</v>
      </c>
      <c r="G6" s="3">
        <v>1</v>
      </c>
      <c r="H6" s="3">
        <v>1</v>
      </c>
      <c r="I6">
        <f t="shared" si="0"/>
        <v>14056812.098365961</v>
      </c>
      <c r="K6">
        <v>13657393815</v>
      </c>
      <c r="L6">
        <v>14056812098.365961</v>
      </c>
    </row>
    <row r="7" spans="1:12" x14ac:dyDescent="0.3">
      <c r="A7" s="3" t="s">
        <v>5</v>
      </c>
      <c r="B7" s="23" t="s">
        <v>44</v>
      </c>
      <c r="C7">
        <v>2557984.2898639995</v>
      </c>
      <c r="D7">
        <v>14257.844999999999</v>
      </c>
      <c r="E7">
        <v>53558.061999999998</v>
      </c>
      <c r="F7" s="3">
        <v>7503.4524423602097</v>
      </c>
      <c r="G7" s="3">
        <v>1</v>
      </c>
      <c r="H7" s="3">
        <v>0</v>
      </c>
      <c r="I7">
        <f t="shared" si="0"/>
        <v>2619550.6964547564</v>
      </c>
      <c r="K7">
        <v>2557984289.8639994</v>
      </c>
      <c r="L7">
        <v>2619550696.4547563</v>
      </c>
    </row>
    <row r="8" spans="1:12" x14ac:dyDescent="0.3">
      <c r="A8" s="3" t="s">
        <v>5</v>
      </c>
      <c r="B8" s="30" t="s">
        <v>45</v>
      </c>
      <c r="C8">
        <v>240140987.10100001</v>
      </c>
      <c r="D8">
        <v>14257.844999999999</v>
      </c>
      <c r="E8">
        <v>13687.267</v>
      </c>
      <c r="F8" s="3">
        <v>6831.3555181443799</v>
      </c>
      <c r="G8" s="3">
        <v>1</v>
      </c>
      <c r="H8" s="3">
        <v>1</v>
      </c>
      <c r="I8">
        <f t="shared" si="0"/>
        <v>194521101.44339547</v>
      </c>
      <c r="K8">
        <v>240140987101</v>
      </c>
      <c r="L8">
        <v>194521101443.39548</v>
      </c>
    </row>
    <row r="9" spans="1:12" x14ac:dyDescent="0.3">
      <c r="A9" s="3" t="s">
        <v>5</v>
      </c>
      <c r="B9" s="23" t="s">
        <v>46</v>
      </c>
      <c r="C9">
        <v>6613969.2323150001</v>
      </c>
      <c r="D9">
        <v>14257.844999999999</v>
      </c>
      <c r="E9">
        <v>3173.5230000000001</v>
      </c>
      <c r="F9" s="3">
        <v>2898.01275037095</v>
      </c>
      <c r="G9" s="3">
        <v>1</v>
      </c>
      <c r="H9" s="3">
        <v>1</v>
      </c>
      <c r="I9">
        <f t="shared" si="0"/>
        <v>7002385.1242178837</v>
      </c>
      <c r="K9">
        <v>6613969232.3150005</v>
      </c>
      <c r="L9">
        <v>7002385124.2178841</v>
      </c>
    </row>
    <row r="10" spans="1:12" x14ac:dyDescent="0.3">
      <c r="A10" s="3" t="s">
        <v>5</v>
      </c>
      <c r="B10" s="23" t="s">
        <v>47</v>
      </c>
      <c r="C10">
        <v>1209329.0483299999</v>
      </c>
      <c r="D10">
        <v>14257.844999999999</v>
      </c>
      <c r="E10">
        <v>32760.31</v>
      </c>
      <c r="F10" s="3">
        <v>869.767534213202</v>
      </c>
      <c r="G10" s="3">
        <v>1</v>
      </c>
      <c r="H10" s="3">
        <v>0</v>
      </c>
      <c r="I10">
        <f t="shared" si="0"/>
        <v>1355243.8024961387</v>
      </c>
      <c r="K10">
        <v>1209329048.3299999</v>
      </c>
      <c r="L10">
        <v>1355243802.4961388</v>
      </c>
    </row>
    <row r="11" spans="1:12" x14ac:dyDescent="0.3">
      <c r="A11" s="3" t="s">
        <v>5</v>
      </c>
      <c r="B11" s="23" t="s">
        <v>48</v>
      </c>
      <c r="C11">
        <v>490170.06875099998</v>
      </c>
      <c r="D11">
        <v>14257.844999999999</v>
      </c>
      <c r="E11">
        <v>54162.987000000001</v>
      </c>
      <c r="F11" s="3">
        <v>895.22221576457298</v>
      </c>
      <c r="G11" s="3">
        <v>1</v>
      </c>
      <c r="H11" s="3">
        <v>0</v>
      </c>
      <c r="I11">
        <f t="shared" si="0"/>
        <v>617853.65762003791</v>
      </c>
      <c r="K11">
        <v>490170068.75099999</v>
      </c>
      <c r="L11">
        <v>617853657.62003791</v>
      </c>
    </row>
    <row r="12" spans="1:12" x14ac:dyDescent="0.3">
      <c r="A12" s="3" t="s">
        <v>5</v>
      </c>
      <c r="B12" s="23" t="s">
        <v>49</v>
      </c>
      <c r="C12">
        <v>9861335.9502420016</v>
      </c>
      <c r="D12">
        <v>14257.844999999999</v>
      </c>
      <c r="E12">
        <v>46792.41</v>
      </c>
      <c r="F12" s="3">
        <v>2493.9222564176998</v>
      </c>
      <c r="G12" s="3">
        <v>1</v>
      </c>
      <c r="H12" s="3">
        <v>0</v>
      </c>
      <c r="I12">
        <f t="shared" si="0"/>
        <v>9035483.0410235412</v>
      </c>
      <c r="K12">
        <v>9861335950.2420025</v>
      </c>
      <c r="L12">
        <v>9035483041.0235405</v>
      </c>
    </row>
    <row r="13" spans="1:12" x14ac:dyDescent="0.3">
      <c r="A13" s="3" t="s">
        <v>5</v>
      </c>
      <c r="B13" s="30" t="s">
        <v>37</v>
      </c>
      <c r="C13">
        <v>2531237.7913309997</v>
      </c>
      <c r="D13">
        <v>14257.844999999999</v>
      </c>
      <c r="E13">
        <v>9571.0190000000002</v>
      </c>
      <c r="F13" s="3">
        <v>1648.8862614111699</v>
      </c>
      <c r="G13" s="3">
        <v>1</v>
      </c>
      <c r="H13" s="3">
        <v>0</v>
      </c>
      <c r="I13">
        <f t="shared" si="0"/>
        <v>2406549.9154713973</v>
      </c>
      <c r="K13">
        <v>2531237791.3309999</v>
      </c>
      <c r="L13">
        <v>2406549915.4713974</v>
      </c>
    </row>
    <row r="14" spans="1:12" x14ac:dyDescent="0.3">
      <c r="A14" s="3" t="s">
        <v>5</v>
      </c>
      <c r="B14" s="23" t="s">
        <v>50</v>
      </c>
      <c r="C14">
        <v>10707039.852978999</v>
      </c>
      <c r="D14">
        <v>14257.844999999999</v>
      </c>
      <c r="E14">
        <v>55911.042000000001</v>
      </c>
      <c r="F14" s="3">
        <v>1613.33655127474</v>
      </c>
      <c r="G14" s="3">
        <v>1</v>
      </c>
      <c r="H14" s="3">
        <v>0</v>
      </c>
      <c r="I14">
        <f t="shared" si="0"/>
        <v>9947032.2039440945</v>
      </c>
      <c r="K14">
        <v>10707039852.978998</v>
      </c>
      <c r="L14">
        <v>9947032203.9440937</v>
      </c>
    </row>
    <row r="15" spans="1:12" x14ac:dyDescent="0.3">
      <c r="A15" s="3" t="s">
        <v>5</v>
      </c>
      <c r="B15" s="23" t="s">
        <v>51</v>
      </c>
      <c r="C15">
        <v>71994470.271828994</v>
      </c>
      <c r="D15">
        <v>14257.844999999999</v>
      </c>
      <c r="E15">
        <v>2878.453</v>
      </c>
      <c r="F15" s="3">
        <v>5026.3692185700902</v>
      </c>
      <c r="G15" s="3">
        <v>1</v>
      </c>
      <c r="H15" s="3">
        <v>1</v>
      </c>
      <c r="I15">
        <f t="shared" si="0"/>
        <v>59582478.08071959</v>
      </c>
      <c r="K15">
        <v>71994470271.828995</v>
      </c>
      <c r="L15">
        <v>59582478080.719589</v>
      </c>
    </row>
    <row r="16" spans="1:12" x14ac:dyDescent="0.3">
      <c r="A16" s="3" t="s">
        <v>5</v>
      </c>
      <c r="B16" s="23" t="s">
        <v>52</v>
      </c>
      <c r="C16">
        <v>3346723.5946850004</v>
      </c>
      <c r="D16">
        <v>14257.844999999999</v>
      </c>
      <c r="E16">
        <v>5026.5389999999998</v>
      </c>
      <c r="F16" s="3">
        <v>9303.2000794141895</v>
      </c>
      <c r="G16" s="3">
        <v>1</v>
      </c>
      <c r="H16" s="3">
        <v>1</v>
      </c>
      <c r="I16">
        <f t="shared" si="0"/>
        <v>3789037.805405179</v>
      </c>
      <c r="K16">
        <v>3346723594.6850004</v>
      </c>
      <c r="L16">
        <v>3789037805.405179</v>
      </c>
    </row>
    <row r="17" spans="1:12" x14ac:dyDescent="0.3">
      <c r="A17" s="3" t="s">
        <v>5</v>
      </c>
      <c r="B17" s="23" t="s">
        <v>53</v>
      </c>
      <c r="C17">
        <v>8429792.338812001</v>
      </c>
      <c r="D17">
        <v>14257.844999999999</v>
      </c>
      <c r="E17">
        <v>41091.258000000002</v>
      </c>
      <c r="F17" s="3">
        <v>2379.3669093886201</v>
      </c>
      <c r="G17" s="3">
        <v>1</v>
      </c>
      <c r="H17" s="3">
        <v>0</v>
      </c>
      <c r="I17">
        <f t="shared" si="0"/>
        <v>7783239.021913914</v>
      </c>
      <c r="K17">
        <v>8429792338.8120012</v>
      </c>
      <c r="L17">
        <v>7783239021.9139137</v>
      </c>
    </row>
    <row r="18" spans="1:12" x14ac:dyDescent="0.3">
      <c r="A18" s="3" t="s">
        <v>5</v>
      </c>
      <c r="B18" s="23" t="s">
        <v>54</v>
      </c>
      <c r="C18">
        <v>7848815.009513</v>
      </c>
      <c r="D18">
        <v>14257.844999999999</v>
      </c>
      <c r="E18">
        <v>33955.711000000003</v>
      </c>
      <c r="F18" s="3">
        <v>7497.1010153651496</v>
      </c>
      <c r="G18" s="3">
        <v>1</v>
      </c>
      <c r="H18" s="3">
        <v>0</v>
      </c>
      <c r="I18">
        <f t="shared" si="0"/>
        <v>7015975.3638856998</v>
      </c>
      <c r="K18">
        <v>7848815009.5130005</v>
      </c>
      <c r="L18">
        <v>7015975363.8857002</v>
      </c>
    </row>
    <row r="19" spans="1:12" x14ac:dyDescent="0.3">
      <c r="A19" s="3" t="s">
        <v>5</v>
      </c>
      <c r="B19" s="23" t="s">
        <v>55</v>
      </c>
      <c r="C19">
        <v>25980387.409370001</v>
      </c>
      <c r="D19">
        <v>14257.844999999999</v>
      </c>
      <c r="E19">
        <v>14768.019</v>
      </c>
      <c r="F19" s="3">
        <v>3112.8466861053398</v>
      </c>
      <c r="G19" s="3">
        <v>1</v>
      </c>
      <c r="H19" s="3">
        <v>0</v>
      </c>
      <c r="I19">
        <f t="shared" si="0"/>
        <v>20051924.375489201</v>
      </c>
      <c r="K19">
        <v>25980387409.370003</v>
      </c>
      <c r="L19">
        <v>20051924375.489201</v>
      </c>
    </row>
    <row r="20" spans="1:12" x14ac:dyDescent="0.3">
      <c r="A20" s="3" t="s">
        <v>5</v>
      </c>
      <c r="B20" s="23" t="s">
        <v>56</v>
      </c>
      <c r="C20">
        <v>11394009.677000001</v>
      </c>
      <c r="D20">
        <v>14257.844999999999</v>
      </c>
      <c r="E20">
        <v>34641.743000000002</v>
      </c>
      <c r="F20" s="3">
        <v>6606.48</v>
      </c>
      <c r="G20" s="3">
        <v>1</v>
      </c>
      <c r="H20" s="3">
        <v>0</v>
      </c>
      <c r="I20">
        <f t="shared" si="0"/>
        <v>9872058.9139878377</v>
      </c>
      <c r="K20">
        <v>11394009677.000002</v>
      </c>
      <c r="L20">
        <v>9872058913.9878368</v>
      </c>
    </row>
    <row r="21" spans="1:12" x14ac:dyDescent="0.3">
      <c r="A21" s="3" t="s">
        <v>5</v>
      </c>
      <c r="B21" s="30" t="s">
        <v>38</v>
      </c>
      <c r="C21">
        <v>1541085.136717</v>
      </c>
      <c r="D21">
        <v>14257.844999999999</v>
      </c>
      <c r="E21">
        <v>24374.291000000001</v>
      </c>
      <c r="F21" s="3">
        <v>844.36031573917501</v>
      </c>
      <c r="G21" s="3">
        <v>1</v>
      </c>
      <c r="H21" s="3">
        <v>0</v>
      </c>
      <c r="I21">
        <f t="shared" si="0"/>
        <v>1657001.6564028456</v>
      </c>
      <c r="K21">
        <v>1541085136.717</v>
      </c>
      <c r="L21">
        <v>1657001656.4028456</v>
      </c>
    </row>
    <row r="22" spans="1:12" x14ac:dyDescent="0.3">
      <c r="A22" s="3" t="s">
        <v>5</v>
      </c>
      <c r="B22" s="23" t="s">
        <v>57</v>
      </c>
      <c r="C22">
        <v>939847.17999999993</v>
      </c>
      <c r="D22">
        <v>14257.844999999999</v>
      </c>
      <c r="E22">
        <v>30835.023000000001</v>
      </c>
      <c r="F22" s="3">
        <v>792.85445352239196</v>
      </c>
      <c r="G22" s="3">
        <v>1</v>
      </c>
      <c r="H22" s="3">
        <v>0</v>
      </c>
      <c r="I22">
        <f t="shared" si="0"/>
        <v>1076949.412012008</v>
      </c>
      <c r="K22">
        <v>939847179.99999988</v>
      </c>
      <c r="L22">
        <v>1076949412.012008</v>
      </c>
    </row>
    <row r="23" spans="1:12" x14ac:dyDescent="0.3">
      <c r="A23" s="3" t="s">
        <v>5</v>
      </c>
      <c r="B23" s="23" t="s">
        <v>58</v>
      </c>
      <c r="C23">
        <v>1399532.5760000001</v>
      </c>
      <c r="D23">
        <v>14257.844999999999</v>
      </c>
      <c r="E23">
        <v>12691.550999999999</v>
      </c>
      <c r="F23" s="3">
        <v>10736.8653322789</v>
      </c>
      <c r="G23" s="3">
        <v>1</v>
      </c>
      <c r="H23" s="3">
        <v>0</v>
      </c>
      <c r="I23">
        <f t="shared" si="0"/>
        <v>1371972.5643379004</v>
      </c>
      <c r="K23">
        <v>1399532576</v>
      </c>
      <c r="L23">
        <v>1371972564.3379004</v>
      </c>
    </row>
    <row r="24" spans="1:12" x14ac:dyDescent="0.3">
      <c r="A24" s="3" t="s">
        <v>5</v>
      </c>
      <c r="B24" s="23" t="s">
        <v>59</v>
      </c>
      <c r="C24">
        <v>293178.64575700002</v>
      </c>
      <c r="D24">
        <v>14257.844999999999</v>
      </c>
      <c r="E24">
        <v>89693.652000000002</v>
      </c>
      <c r="F24" s="3">
        <v>1649.17931816699</v>
      </c>
      <c r="G24" s="3">
        <v>1</v>
      </c>
      <c r="H24" s="3">
        <v>0</v>
      </c>
      <c r="I24">
        <f t="shared" si="0"/>
        <v>395169.27886516153</v>
      </c>
      <c r="K24">
        <v>293178645.75700003</v>
      </c>
      <c r="L24">
        <v>395169278.86516154</v>
      </c>
    </row>
    <row r="25" spans="1:12" x14ac:dyDescent="0.3">
      <c r="A25" s="3" t="s">
        <v>5</v>
      </c>
      <c r="B25" s="23" t="s">
        <v>60</v>
      </c>
      <c r="C25">
        <v>4849590.8119999999</v>
      </c>
      <c r="D25">
        <v>14257.844999999999</v>
      </c>
      <c r="E25">
        <v>26805.13</v>
      </c>
      <c r="F25" s="3">
        <v>1154.0338800131301</v>
      </c>
      <c r="G25" s="3">
        <v>1</v>
      </c>
      <c r="H25" s="3">
        <v>0</v>
      </c>
      <c r="I25">
        <f t="shared" si="0"/>
        <v>4669987.0594966533</v>
      </c>
      <c r="K25">
        <v>4849590812</v>
      </c>
      <c r="L25">
        <v>4669987059.4966536</v>
      </c>
    </row>
    <row r="26" spans="1:12" x14ac:dyDescent="0.3">
      <c r="A26" s="3" t="s">
        <v>5</v>
      </c>
      <c r="B26" s="23" t="s">
        <v>30</v>
      </c>
      <c r="C26">
        <v>3720889.8707109997</v>
      </c>
      <c r="D26">
        <v>14257.844999999999</v>
      </c>
      <c r="E26">
        <v>30098.870999999999</v>
      </c>
      <c r="F26" s="3">
        <v>3528.7658208035</v>
      </c>
      <c r="G26" s="3">
        <v>1</v>
      </c>
      <c r="H26" s="3">
        <v>0</v>
      </c>
      <c r="I26">
        <f t="shared" si="0"/>
        <v>3606343.4508098136</v>
      </c>
      <c r="K26">
        <v>3720889870.7109995</v>
      </c>
      <c r="L26">
        <v>3606343450.8098135</v>
      </c>
    </row>
    <row r="27" spans="1:12" x14ac:dyDescent="0.3">
      <c r="A27" s="3" t="s">
        <v>5</v>
      </c>
      <c r="B27" s="23" t="s">
        <v>31</v>
      </c>
      <c r="C27">
        <v>858330.25919100014</v>
      </c>
      <c r="D27">
        <v>14257.844999999999</v>
      </c>
      <c r="E27">
        <v>6396.9210000000003</v>
      </c>
      <c r="F27" s="3">
        <v>10102.907887278599</v>
      </c>
      <c r="G27" s="3">
        <v>1</v>
      </c>
      <c r="H27" s="3">
        <v>1</v>
      </c>
      <c r="I27">
        <f t="shared" si="0"/>
        <v>1121190.2516141173</v>
      </c>
      <c r="K27">
        <v>858330259.1910001</v>
      </c>
      <c r="L27">
        <v>1121190251.6141174</v>
      </c>
    </row>
    <row r="28" spans="1:12" x14ac:dyDescent="0.3">
      <c r="A28" s="3" t="s">
        <v>5</v>
      </c>
      <c r="B28" s="23" t="s">
        <v>32</v>
      </c>
      <c r="C28">
        <v>52584801.645000003</v>
      </c>
      <c r="D28">
        <v>14257.844999999999</v>
      </c>
      <c r="E28">
        <v>16708.903999999999</v>
      </c>
      <c r="F28" s="3">
        <v>1756.8422458146099</v>
      </c>
      <c r="G28" s="3">
        <v>1</v>
      </c>
      <c r="H28" s="3">
        <v>0</v>
      </c>
      <c r="I28">
        <f t="shared" si="0"/>
        <v>38771500.624090225</v>
      </c>
      <c r="K28">
        <v>52584801645</v>
      </c>
      <c r="L28">
        <v>38771500624.090225</v>
      </c>
    </row>
    <row r="29" spans="1:12" x14ac:dyDescent="0.3">
      <c r="A29" s="3" t="s">
        <v>5</v>
      </c>
      <c r="B29" s="23" t="s">
        <v>33</v>
      </c>
      <c r="C29">
        <v>23930.870289999999</v>
      </c>
      <c r="D29">
        <v>14257.844999999999</v>
      </c>
      <c r="E29">
        <v>6260.8310000000001</v>
      </c>
      <c r="F29" s="3">
        <v>756.29413636589697</v>
      </c>
      <c r="G29" s="3">
        <v>1</v>
      </c>
      <c r="H29" s="3">
        <v>0</v>
      </c>
      <c r="I29">
        <f t="shared" si="0"/>
        <v>35129.227562694272</v>
      </c>
      <c r="K29">
        <v>23930870.289999999</v>
      </c>
      <c r="L29">
        <v>35129227.562694274</v>
      </c>
    </row>
    <row r="30" spans="1:12" x14ac:dyDescent="0.3">
      <c r="A30" s="3" t="s">
        <v>5</v>
      </c>
      <c r="B30" s="23" t="s">
        <v>34</v>
      </c>
      <c r="C30">
        <v>10939567.140068</v>
      </c>
      <c r="D30">
        <v>14257.844999999999</v>
      </c>
      <c r="E30">
        <v>49498.383999999998</v>
      </c>
      <c r="F30" s="3">
        <v>3679.0162332679902</v>
      </c>
      <c r="G30" s="3">
        <v>1</v>
      </c>
      <c r="H30" s="3">
        <v>0</v>
      </c>
      <c r="I30">
        <f t="shared" si="0"/>
        <v>9870593.6426965836</v>
      </c>
      <c r="K30">
        <v>10939567140.068001</v>
      </c>
      <c r="L30">
        <v>9870593642.6965828</v>
      </c>
    </row>
    <row r="31" spans="1:12" x14ac:dyDescent="0.3">
      <c r="A31" s="3" t="s">
        <v>5</v>
      </c>
      <c r="B31" s="23" t="s">
        <v>35</v>
      </c>
      <c r="C31">
        <v>1188468.8849180001</v>
      </c>
      <c r="D31">
        <v>14257.844999999999</v>
      </c>
      <c r="E31">
        <v>54949.055999999997</v>
      </c>
      <c r="F31" s="3">
        <v>2508.3121995399802</v>
      </c>
      <c r="G31" s="3">
        <v>1</v>
      </c>
      <c r="H31" s="3">
        <v>0</v>
      </c>
      <c r="I31">
        <f t="shared" si="0"/>
        <v>1345407.3711360302</v>
      </c>
      <c r="K31">
        <v>1188468884.918</v>
      </c>
      <c r="L31">
        <v>1345407371.1360302</v>
      </c>
    </row>
    <row r="32" spans="1:12" x14ac:dyDescent="0.3">
      <c r="A32" s="3" t="s">
        <v>5</v>
      </c>
      <c r="B32" s="23" t="s">
        <v>6</v>
      </c>
      <c r="C32">
        <v>3798112.3509999998</v>
      </c>
      <c r="D32">
        <v>14257.844999999999</v>
      </c>
      <c r="E32">
        <v>89105.202000000005</v>
      </c>
      <c r="F32" s="3">
        <v>7531.1729722250402</v>
      </c>
      <c r="G32" s="3">
        <v>1</v>
      </c>
      <c r="H32" s="3">
        <v>0</v>
      </c>
      <c r="I32">
        <f t="shared" si="0"/>
        <v>3870381.2512759585</v>
      </c>
      <c r="K32">
        <v>3798112351</v>
      </c>
      <c r="L32">
        <v>3870381251.2759585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C866E-8022-46AF-942E-ABAA6E164067}">
  <dimension ref="A1:N32"/>
  <sheetViews>
    <sheetView workbookViewId="0">
      <selection activeCell="L1" sqref="L1:L32"/>
    </sheetView>
  </sheetViews>
  <sheetFormatPr defaultRowHeight="14.4" x14ac:dyDescent="0.3"/>
  <sheetData>
    <row r="1" spans="1:14" ht="28.8" x14ac:dyDescent="0.3">
      <c r="A1" s="14" t="s">
        <v>3</v>
      </c>
      <c r="B1" s="15" t="s">
        <v>4</v>
      </c>
      <c r="C1" s="14" t="s">
        <v>1</v>
      </c>
      <c r="D1" s="14" t="s">
        <v>2</v>
      </c>
      <c r="E1" s="16" t="s">
        <v>7</v>
      </c>
      <c r="F1" s="16" t="s">
        <v>23</v>
      </c>
      <c r="G1" s="16" t="s">
        <v>24</v>
      </c>
      <c r="H1" s="16" t="s">
        <v>0</v>
      </c>
      <c r="I1" s="16" t="s">
        <v>66</v>
      </c>
      <c r="J1" s="16" t="s">
        <v>67</v>
      </c>
      <c r="K1" s="16" t="s">
        <v>68</v>
      </c>
      <c r="L1" s="16" t="s">
        <v>69</v>
      </c>
      <c r="M1" s="16" t="s">
        <v>70</v>
      </c>
      <c r="N1" s="16" t="s">
        <v>71</v>
      </c>
    </row>
    <row r="2" spans="1:14" x14ac:dyDescent="0.3">
      <c r="A2" s="3" t="s">
        <v>5</v>
      </c>
      <c r="B2" s="3" t="s">
        <v>40</v>
      </c>
      <c r="C2" s="3">
        <v>21</v>
      </c>
      <c r="D2" s="3" t="s">
        <v>25</v>
      </c>
      <c r="E2" s="3">
        <v>489551.23333000002</v>
      </c>
      <c r="F2" s="3">
        <v>13415.312</v>
      </c>
      <c r="G2" s="3">
        <v>14794.697</v>
      </c>
      <c r="H2" s="3">
        <v>13459.278964486401</v>
      </c>
      <c r="I2" s="3">
        <v>1</v>
      </c>
      <c r="J2" s="3">
        <v>0</v>
      </c>
      <c r="K2" s="3">
        <v>0</v>
      </c>
      <c r="L2" s="3">
        <v>0</v>
      </c>
      <c r="M2" s="3">
        <v>0</v>
      </c>
      <c r="N2" s="3">
        <v>1</v>
      </c>
    </row>
    <row r="3" spans="1:14" x14ac:dyDescent="0.3">
      <c r="A3" s="3" t="s">
        <v>5</v>
      </c>
      <c r="B3" s="3" t="s">
        <v>41</v>
      </c>
      <c r="C3" s="3">
        <v>48</v>
      </c>
      <c r="D3" s="3" t="s">
        <v>25</v>
      </c>
      <c r="E3" s="3">
        <v>3649.8942259999999</v>
      </c>
      <c r="F3" s="3">
        <v>66247.960000000006</v>
      </c>
      <c r="G3" s="3">
        <v>14794.697</v>
      </c>
      <c r="H3" s="3">
        <v>14484.007190910999</v>
      </c>
      <c r="I3" s="3">
        <v>1</v>
      </c>
      <c r="J3" s="3">
        <v>0</v>
      </c>
      <c r="K3" s="3">
        <v>0</v>
      </c>
      <c r="L3" s="3">
        <v>0</v>
      </c>
      <c r="M3" s="3">
        <v>0</v>
      </c>
      <c r="N3" s="3">
        <v>1</v>
      </c>
    </row>
    <row r="4" spans="1:14" x14ac:dyDescent="0.3">
      <c r="A4" s="3" t="s">
        <v>5</v>
      </c>
      <c r="B4" s="17" t="s">
        <v>36</v>
      </c>
      <c r="C4" s="3">
        <v>470</v>
      </c>
      <c r="D4" s="3" t="s">
        <v>25</v>
      </c>
      <c r="E4" s="3">
        <v>4798993.0606899997</v>
      </c>
      <c r="F4" s="3">
        <v>14794.697</v>
      </c>
      <c r="G4" s="3">
        <v>7251.3029999999999</v>
      </c>
      <c r="H4" s="3">
        <v>1932.3583487624601</v>
      </c>
      <c r="I4" s="3">
        <v>1</v>
      </c>
      <c r="J4" s="17">
        <v>1</v>
      </c>
      <c r="K4" s="3">
        <v>0</v>
      </c>
      <c r="L4" s="3">
        <v>0</v>
      </c>
      <c r="M4" s="3">
        <v>0</v>
      </c>
      <c r="N4" s="3">
        <v>1</v>
      </c>
    </row>
    <row r="5" spans="1:14" x14ac:dyDescent="0.3">
      <c r="A5" s="3" t="s">
        <v>5</v>
      </c>
      <c r="B5" s="3" t="s">
        <v>42</v>
      </c>
      <c r="C5" s="3">
        <v>74</v>
      </c>
      <c r="D5" s="3" t="s">
        <v>25</v>
      </c>
      <c r="E5" s="3">
        <v>27589528.100000001</v>
      </c>
      <c r="F5" s="3">
        <v>7794.2650000000003</v>
      </c>
      <c r="G5" s="3">
        <v>14794.697</v>
      </c>
      <c r="H5" s="3">
        <v>677.24690223242999</v>
      </c>
      <c r="I5" s="3">
        <v>1</v>
      </c>
      <c r="J5" s="3">
        <v>1</v>
      </c>
      <c r="K5" s="3">
        <v>0</v>
      </c>
      <c r="L5" s="3">
        <v>0</v>
      </c>
      <c r="M5" s="3">
        <v>0</v>
      </c>
      <c r="N5" s="3">
        <v>1</v>
      </c>
    </row>
    <row r="6" spans="1:14" x14ac:dyDescent="0.3">
      <c r="A6" s="3" t="s">
        <v>5</v>
      </c>
      <c r="B6" s="3" t="s">
        <v>43</v>
      </c>
      <c r="C6" s="3">
        <v>99</v>
      </c>
      <c r="D6" s="3" t="s">
        <v>25</v>
      </c>
      <c r="E6" s="3">
        <v>13657393.814999999</v>
      </c>
      <c r="F6" s="3">
        <v>10214.031999999999</v>
      </c>
      <c r="G6" s="3">
        <v>14794.697</v>
      </c>
      <c r="H6" s="3">
        <v>11790.985784417901</v>
      </c>
      <c r="I6" s="3">
        <v>1</v>
      </c>
      <c r="J6" s="3">
        <v>0</v>
      </c>
      <c r="K6" s="3">
        <v>0</v>
      </c>
      <c r="L6" s="3">
        <v>1</v>
      </c>
      <c r="M6" s="3">
        <v>0</v>
      </c>
      <c r="N6" s="3">
        <v>1</v>
      </c>
    </row>
    <row r="7" spans="1:14" x14ac:dyDescent="0.3">
      <c r="A7" s="3" t="s">
        <v>5</v>
      </c>
      <c r="B7" s="3" t="s">
        <v>44</v>
      </c>
      <c r="C7" s="3">
        <v>123</v>
      </c>
      <c r="D7" s="3" t="s">
        <v>25</v>
      </c>
      <c r="E7" s="3">
        <v>2557984.2898639995</v>
      </c>
      <c r="F7" s="3">
        <v>54473.186000000002</v>
      </c>
      <c r="G7" s="3">
        <v>14794.697</v>
      </c>
      <c r="H7" s="3">
        <v>7503.4524423602097</v>
      </c>
      <c r="I7" s="3">
        <v>1</v>
      </c>
      <c r="J7" s="3">
        <v>0</v>
      </c>
      <c r="K7" s="3">
        <v>0</v>
      </c>
      <c r="L7" s="3">
        <v>0</v>
      </c>
      <c r="M7" s="3">
        <v>0</v>
      </c>
      <c r="N7" s="3">
        <v>1</v>
      </c>
    </row>
    <row r="8" spans="1:14" x14ac:dyDescent="0.3">
      <c r="A8" s="3" t="s">
        <v>5</v>
      </c>
      <c r="B8" s="17" t="s">
        <v>45</v>
      </c>
      <c r="C8" s="3">
        <v>146</v>
      </c>
      <c r="D8" s="3" t="s">
        <v>25</v>
      </c>
      <c r="E8" s="3">
        <v>240140987.10100001</v>
      </c>
      <c r="F8" s="3">
        <v>13312.7</v>
      </c>
      <c r="G8" s="3">
        <v>14794.697</v>
      </c>
      <c r="H8" s="3">
        <v>6831.3555181443799</v>
      </c>
      <c r="I8" s="3">
        <v>1</v>
      </c>
      <c r="J8" s="3">
        <v>1</v>
      </c>
      <c r="K8" s="3">
        <v>0</v>
      </c>
      <c r="L8" s="3">
        <v>1</v>
      </c>
      <c r="M8" s="3">
        <v>0</v>
      </c>
      <c r="N8" s="3">
        <v>1</v>
      </c>
    </row>
    <row r="9" spans="1:14" x14ac:dyDescent="0.3">
      <c r="A9" s="3" t="s">
        <v>5</v>
      </c>
      <c r="B9" s="3" t="s">
        <v>46</v>
      </c>
      <c r="C9" s="3">
        <v>168</v>
      </c>
      <c r="D9" s="3" t="s">
        <v>25</v>
      </c>
      <c r="E9" s="3">
        <v>6613969.2323150001</v>
      </c>
      <c r="F9" s="3">
        <v>3570.3130000000001</v>
      </c>
      <c r="G9" s="3">
        <v>14794.697</v>
      </c>
      <c r="H9" s="3">
        <v>2898.01275037095</v>
      </c>
      <c r="I9" s="3">
        <v>1</v>
      </c>
      <c r="J9" s="3">
        <v>0</v>
      </c>
      <c r="K9" s="3">
        <v>0</v>
      </c>
      <c r="L9" s="3">
        <v>1</v>
      </c>
      <c r="M9" s="3">
        <v>0</v>
      </c>
      <c r="N9" s="3">
        <v>1</v>
      </c>
    </row>
    <row r="10" spans="1:14" x14ac:dyDescent="0.3">
      <c r="A10" s="3" t="s">
        <v>5</v>
      </c>
      <c r="B10" s="3" t="s">
        <v>47</v>
      </c>
      <c r="C10" s="3">
        <v>189</v>
      </c>
      <c r="D10" s="3" t="s">
        <v>25</v>
      </c>
      <c r="E10" s="3">
        <v>1209329.0483299999</v>
      </c>
      <c r="F10" s="3">
        <v>31174.35</v>
      </c>
      <c r="G10" s="3">
        <v>14794.697</v>
      </c>
      <c r="H10" s="3">
        <v>869.767534213202</v>
      </c>
      <c r="I10" s="3">
        <v>1</v>
      </c>
      <c r="J10" s="3">
        <v>1</v>
      </c>
      <c r="K10" s="3">
        <v>0</v>
      </c>
      <c r="L10" s="3">
        <v>0</v>
      </c>
      <c r="M10" s="3">
        <v>0</v>
      </c>
      <c r="N10" s="3">
        <v>1</v>
      </c>
    </row>
    <row r="11" spans="1:14" x14ac:dyDescent="0.3">
      <c r="A11" s="3" t="s">
        <v>5</v>
      </c>
      <c r="B11" s="3" t="s">
        <v>48</v>
      </c>
      <c r="C11" s="3">
        <v>209</v>
      </c>
      <c r="D11" s="3" t="s">
        <v>25</v>
      </c>
      <c r="E11" s="3">
        <v>490170.06875099998</v>
      </c>
      <c r="F11" s="3">
        <v>53326.396000000001</v>
      </c>
      <c r="G11" s="3">
        <v>14794.697</v>
      </c>
      <c r="H11" s="3">
        <v>895.22221576457298</v>
      </c>
      <c r="I11" s="3">
        <v>1</v>
      </c>
      <c r="J11" s="3">
        <v>1</v>
      </c>
      <c r="K11" s="3">
        <v>0</v>
      </c>
      <c r="L11" s="3">
        <v>0</v>
      </c>
      <c r="M11" s="3">
        <v>0</v>
      </c>
      <c r="N11" s="3">
        <v>1</v>
      </c>
    </row>
    <row r="12" spans="1:14" x14ac:dyDescent="0.3">
      <c r="A12" s="3" t="s">
        <v>5</v>
      </c>
      <c r="B12" s="3" t="s">
        <v>49</v>
      </c>
      <c r="C12" s="3">
        <v>228</v>
      </c>
      <c r="D12" s="3" t="s">
        <v>25</v>
      </c>
      <c r="E12" s="3">
        <v>9861335.9502420016</v>
      </c>
      <c r="F12" s="3">
        <v>46203.675000000003</v>
      </c>
      <c r="G12" s="3">
        <v>14794.697</v>
      </c>
      <c r="H12" s="3">
        <v>2493.9222564176998</v>
      </c>
      <c r="I12" s="3">
        <v>1</v>
      </c>
      <c r="J12" s="3">
        <v>0</v>
      </c>
      <c r="K12" s="3">
        <v>0</v>
      </c>
      <c r="L12" s="3">
        <v>0</v>
      </c>
      <c r="M12" s="3">
        <v>0</v>
      </c>
      <c r="N12" s="3">
        <v>1</v>
      </c>
    </row>
    <row r="13" spans="1:14" x14ac:dyDescent="0.3">
      <c r="A13" s="3" t="s">
        <v>5</v>
      </c>
      <c r="B13" s="17" t="s">
        <v>37</v>
      </c>
      <c r="C13" s="3">
        <v>471</v>
      </c>
      <c r="D13" s="3" t="s">
        <v>25</v>
      </c>
      <c r="E13" s="3">
        <v>2531237.7913309997</v>
      </c>
      <c r="F13" s="3">
        <v>14794.697</v>
      </c>
      <c r="G13" s="3">
        <v>9141.8459999999995</v>
      </c>
      <c r="H13" s="3">
        <v>1648.8862614111699</v>
      </c>
      <c r="I13" s="3">
        <v>1</v>
      </c>
      <c r="J13" s="17">
        <v>1</v>
      </c>
      <c r="K13" s="3">
        <v>0</v>
      </c>
      <c r="L13" s="3">
        <v>0</v>
      </c>
      <c r="M13" s="3">
        <v>0</v>
      </c>
      <c r="N13" s="3">
        <v>1</v>
      </c>
    </row>
    <row r="14" spans="1:14" x14ac:dyDescent="0.3">
      <c r="A14" s="3" t="s">
        <v>5</v>
      </c>
      <c r="B14" s="3" t="s">
        <v>50</v>
      </c>
      <c r="C14" s="3">
        <v>246</v>
      </c>
      <c r="D14" s="3" t="s">
        <v>25</v>
      </c>
      <c r="E14" s="3">
        <v>10707039.852978999</v>
      </c>
      <c r="F14" s="3">
        <v>54989.760000000002</v>
      </c>
      <c r="G14" s="3">
        <v>14794.697</v>
      </c>
      <c r="H14" s="3">
        <v>1613.33655127474</v>
      </c>
      <c r="I14" s="3">
        <v>1</v>
      </c>
      <c r="J14" s="3">
        <v>0</v>
      </c>
      <c r="K14" s="3">
        <v>0</v>
      </c>
      <c r="L14" s="3">
        <v>0</v>
      </c>
      <c r="M14" s="3">
        <v>0</v>
      </c>
      <c r="N14" s="3">
        <v>1</v>
      </c>
    </row>
    <row r="15" spans="1:14" x14ac:dyDescent="0.3">
      <c r="A15" s="3" t="s">
        <v>5</v>
      </c>
      <c r="B15" s="3" t="s">
        <v>51</v>
      </c>
      <c r="C15" s="3">
        <v>263</v>
      </c>
      <c r="D15" s="3" t="s">
        <v>25</v>
      </c>
      <c r="E15" s="3">
        <v>71994470.271828994</v>
      </c>
      <c r="F15" s="3">
        <v>2711.4119999999998</v>
      </c>
      <c r="G15" s="3">
        <v>14794.697</v>
      </c>
      <c r="H15" s="3">
        <v>5026.3692185700902</v>
      </c>
      <c r="I15" s="3">
        <v>1</v>
      </c>
      <c r="J15" s="3">
        <v>0</v>
      </c>
      <c r="K15" s="3">
        <v>0</v>
      </c>
      <c r="L15" s="3">
        <v>1</v>
      </c>
      <c r="M15" s="3">
        <v>0</v>
      </c>
      <c r="N15" s="3">
        <v>1</v>
      </c>
    </row>
    <row r="16" spans="1:14" x14ac:dyDescent="0.3">
      <c r="A16" s="3" t="s">
        <v>5</v>
      </c>
      <c r="B16" s="3" t="s">
        <v>52</v>
      </c>
      <c r="C16" s="3">
        <v>279</v>
      </c>
      <c r="D16" s="3" t="s">
        <v>25</v>
      </c>
      <c r="E16" s="3">
        <v>3346723.5946850004</v>
      </c>
      <c r="F16" s="3">
        <v>4958.3850000000002</v>
      </c>
      <c r="G16" s="3">
        <v>14794.697</v>
      </c>
      <c r="H16" s="3">
        <v>9303.2000794141895</v>
      </c>
      <c r="I16" s="3">
        <v>1</v>
      </c>
      <c r="J16" s="3">
        <v>0</v>
      </c>
      <c r="K16" s="3">
        <v>0</v>
      </c>
      <c r="L16" s="3">
        <v>0</v>
      </c>
      <c r="M16" s="3">
        <v>0</v>
      </c>
      <c r="N16" s="3">
        <v>1</v>
      </c>
    </row>
    <row r="17" spans="1:14" x14ac:dyDescent="0.3">
      <c r="A17" s="3" t="s">
        <v>5</v>
      </c>
      <c r="B17" s="3" t="s">
        <v>53</v>
      </c>
      <c r="C17" s="3">
        <v>294</v>
      </c>
      <c r="D17" s="3" t="s">
        <v>25</v>
      </c>
      <c r="E17" s="3">
        <v>8429792.338812001</v>
      </c>
      <c r="F17" s="3">
        <v>40224.012000000002</v>
      </c>
      <c r="G17" s="3">
        <v>14794.697</v>
      </c>
      <c r="H17" s="3">
        <v>2379.3669093886201</v>
      </c>
      <c r="I17" s="3">
        <v>1</v>
      </c>
      <c r="J17" s="3">
        <v>0</v>
      </c>
      <c r="K17" s="3">
        <v>0</v>
      </c>
      <c r="L17" s="3">
        <v>0</v>
      </c>
      <c r="M17" s="3">
        <v>0</v>
      </c>
      <c r="N17" s="3">
        <v>1</v>
      </c>
    </row>
    <row r="18" spans="1:14" x14ac:dyDescent="0.3">
      <c r="A18" s="3" t="s">
        <v>5</v>
      </c>
      <c r="B18" s="3" t="s">
        <v>54</v>
      </c>
      <c r="C18" s="3">
        <v>308</v>
      </c>
      <c r="D18" s="3" t="s">
        <v>25</v>
      </c>
      <c r="E18" s="3">
        <v>7848815.009513</v>
      </c>
      <c r="F18" s="3">
        <v>32498.146000000001</v>
      </c>
      <c r="G18" s="3">
        <v>14794.697</v>
      </c>
      <c r="H18" s="3">
        <v>7497.1010153651496</v>
      </c>
      <c r="I18" s="3">
        <v>1</v>
      </c>
      <c r="J18" s="3">
        <v>0</v>
      </c>
      <c r="K18" s="3">
        <v>0</v>
      </c>
      <c r="L18" s="3">
        <v>0</v>
      </c>
      <c r="M18" s="3">
        <v>0</v>
      </c>
      <c r="N18" s="3">
        <v>1</v>
      </c>
    </row>
    <row r="19" spans="1:14" x14ac:dyDescent="0.3">
      <c r="A19" s="3" t="s">
        <v>5</v>
      </c>
      <c r="B19" s="3" t="s">
        <v>55</v>
      </c>
      <c r="C19" s="3">
        <v>321</v>
      </c>
      <c r="D19" s="3" t="s">
        <v>25</v>
      </c>
      <c r="E19" s="3">
        <v>25980387.409370001</v>
      </c>
      <c r="F19" s="3">
        <v>14149.097</v>
      </c>
      <c r="G19" s="3">
        <v>14794.697</v>
      </c>
      <c r="H19" s="3">
        <v>3112.8466861053398</v>
      </c>
      <c r="I19" s="3">
        <v>1</v>
      </c>
      <c r="J19" s="3">
        <v>1</v>
      </c>
      <c r="K19" s="3">
        <v>0</v>
      </c>
      <c r="L19" s="3">
        <v>0</v>
      </c>
      <c r="M19" s="3">
        <v>0</v>
      </c>
      <c r="N19" s="3">
        <v>1</v>
      </c>
    </row>
    <row r="20" spans="1:14" x14ac:dyDescent="0.3">
      <c r="A20" s="3" t="s">
        <v>5</v>
      </c>
      <c r="B20" s="3" t="s">
        <v>56</v>
      </c>
      <c r="C20" s="3">
        <v>333</v>
      </c>
      <c r="D20" s="3" t="s">
        <v>25</v>
      </c>
      <c r="E20" s="3">
        <v>11394009.677000001</v>
      </c>
      <c r="F20" s="3">
        <v>36128.987000000001</v>
      </c>
      <c r="G20" s="3">
        <v>14794.697</v>
      </c>
      <c r="H20" s="3">
        <v>6606.48</v>
      </c>
      <c r="I20" s="3">
        <v>1</v>
      </c>
      <c r="J20" s="3">
        <v>0</v>
      </c>
      <c r="K20" s="3">
        <v>0</v>
      </c>
      <c r="L20" s="3">
        <v>0</v>
      </c>
      <c r="M20" s="3">
        <v>0</v>
      </c>
      <c r="N20" s="3">
        <v>1</v>
      </c>
    </row>
    <row r="21" spans="1:14" x14ac:dyDescent="0.3">
      <c r="A21" s="3" t="s">
        <v>5</v>
      </c>
      <c r="B21" s="17" t="s">
        <v>38</v>
      </c>
      <c r="C21" s="3">
        <v>472</v>
      </c>
      <c r="D21" s="3" t="s">
        <v>25</v>
      </c>
      <c r="E21" s="3">
        <v>1541085.136717</v>
      </c>
      <c r="F21" s="3">
        <v>14794.697</v>
      </c>
      <c r="G21" s="3">
        <v>23242.741999999998</v>
      </c>
      <c r="H21" s="3">
        <v>844.36031573917501</v>
      </c>
      <c r="I21" s="3">
        <v>1</v>
      </c>
      <c r="J21" s="17">
        <v>1</v>
      </c>
      <c r="K21" s="3">
        <v>0</v>
      </c>
      <c r="L21" s="3">
        <v>0</v>
      </c>
      <c r="M21" s="3">
        <v>0</v>
      </c>
      <c r="N21" s="3">
        <v>1</v>
      </c>
    </row>
    <row r="22" spans="1:14" x14ac:dyDescent="0.3">
      <c r="A22" s="3" t="s">
        <v>5</v>
      </c>
      <c r="B22" s="3" t="s">
        <v>57</v>
      </c>
      <c r="C22" s="3">
        <v>344</v>
      </c>
      <c r="D22" s="3" t="s">
        <v>25</v>
      </c>
      <c r="E22" s="3">
        <v>939847.17999999993</v>
      </c>
      <c r="F22" s="3">
        <v>29338.624</v>
      </c>
      <c r="G22" s="3">
        <v>14794.697</v>
      </c>
      <c r="H22" s="3">
        <v>792.85445352239196</v>
      </c>
      <c r="I22" s="3">
        <v>1</v>
      </c>
      <c r="J22" s="3">
        <v>1</v>
      </c>
      <c r="K22" s="3">
        <v>0</v>
      </c>
      <c r="L22" s="3">
        <v>0</v>
      </c>
      <c r="M22" s="3">
        <v>0</v>
      </c>
      <c r="N22" s="3">
        <v>1</v>
      </c>
    </row>
    <row r="23" spans="1:14" x14ac:dyDescent="0.3">
      <c r="A23" s="3" t="s">
        <v>5</v>
      </c>
      <c r="B23" s="3" t="s">
        <v>58</v>
      </c>
      <c r="C23" s="3">
        <v>354</v>
      </c>
      <c r="D23" s="3" t="s">
        <v>25</v>
      </c>
      <c r="E23" s="3">
        <v>1399532.5760000001</v>
      </c>
      <c r="F23" s="3">
        <v>14006.661</v>
      </c>
      <c r="G23" s="3">
        <v>14794.697</v>
      </c>
      <c r="H23" s="3">
        <v>10736.8653322789</v>
      </c>
      <c r="I23" s="3">
        <v>1</v>
      </c>
      <c r="J23" s="3">
        <v>0</v>
      </c>
      <c r="K23" s="3">
        <v>0</v>
      </c>
      <c r="L23" s="3">
        <v>0</v>
      </c>
      <c r="M23" s="3">
        <v>0</v>
      </c>
      <c r="N23" s="3">
        <v>1</v>
      </c>
    </row>
    <row r="24" spans="1:14" x14ac:dyDescent="0.3">
      <c r="A24" s="3" t="s">
        <v>5</v>
      </c>
      <c r="B24" s="3" t="s">
        <v>59</v>
      </c>
      <c r="C24" s="3">
        <v>363</v>
      </c>
      <c r="D24" s="3" t="s">
        <v>25</v>
      </c>
      <c r="E24" s="3">
        <v>293178.64575700002</v>
      </c>
      <c r="F24" s="3">
        <v>86611.172999999995</v>
      </c>
      <c r="G24" s="3">
        <v>14794.697</v>
      </c>
      <c r="H24" s="3">
        <v>1649.17931816699</v>
      </c>
      <c r="I24" s="3">
        <v>1</v>
      </c>
      <c r="J24" s="3">
        <v>1</v>
      </c>
      <c r="K24" s="3">
        <v>0</v>
      </c>
      <c r="L24" s="3">
        <v>0</v>
      </c>
      <c r="M24" s="3">
        <v>0</v>
      </c>
      <c r="N24" s="3">
        <v>1</v>
      </c>
    </row>
    <row r="25" spans="1:14" x14ac:dyDescent="0.3">
      <c r="A25" s="3" t="s">
        <v>5</v>
      </c>
      <c r="B25" s="3" t="s">
        <v>60</v>
      </c>
      <c r="C25" s="3">
        <v>371</v>
      </c>
      <c r="D25" s="3" t="s">
        <v>25</v>
      </c>
      <c r="E25" s="3">
        <v>4849590.8119999999</v>
      </c>
      <c r="F25" s="3">
        <v>24810.444</v>
      </c>
      <c r="G25" s="3">
        <v>14794.697</v>
      </c>
      <c r="H25" s="3">
        <v>1154.0338800131301</v>
      </c>
      <c r="I25" s="3">
        <v>1</v>
      </c>
      <c r="J25" s="3">
        <v>1</v>
      </c>
      <c r="K25" s="3">
        <v>0</v>
      </c>
      <c r="L25" s="3">
        <v>0</v>
      </c>
      <c r="M25" s="3">
        <v>0</v>
      </c>
      <c r="N25" s="3">
        <v>1</v>
      </c>
    </row>
    <row r="26" spans="1:14" x14ac:dyDescent="0.3">
      <c r="A26" s="3" t="s">
        <v>5</v>
      </c>
      <c r="B26" s="3" t="s">
        <v>30</v>
      </c>
      <c r="C26" s="3">
        <v>379</v>
      </c>
      <c r="D26" s="3" t="s">
        <v>25</v>
      </c>
      <c r="E26" s="3">
        <v>3720889.8707109997</v>
      </c>
      <c r="F26" s="3">
        <v>14794.697</v>
      </c>
      <c r="G26" s="3">
        <v>30746.453000000001</v>
      </c>
      <c r="H26" s="3">
        <v>3528.7658208035</v>
      </c>
      <c r="I26" s="3">
        <v>1</v>
      </c>
      <c r="J26" s="3">
        <v>0</v>
      </c>
      <c r="K26" s="3">
        <v>0</v>
      </c>
      <c r="L26" s="3">
        <v>0</v>
      </c>
      <c r="M26" s="3">
        <v>0</v>
      </c>
      <c r="N26" s="3">
        <v>1</v>
      </c>
    </row>
    <row r="27" spans="1:14" x14ac:dyDescent="0.3">
      <c r="A27" s="3" t="s">
        <v>5</v>
      </c>
      <c r="B27" s="3" t="s">
        <v>31</v>
      </c>
      <c r="C27" s="3">
        <v>380</v>
      </c>
      <c r="D27" s="3" t="s">
        <v>25</v>
      </c>
      <c r="E27" s="3">
        <v>858330.25919100014</v>
      </c>
      <c r="F27" s="3">
        <v>14794.697</v>
      </c>
      <c r="G27" s="3">
        <v>6331.9129999999996</v>
      </c>
      <c r="H27" s="3">
        <v>10102.907887278599</v>
      </c>
      <c r="I27" s="3">
        <v>1</v>
      </c>
      <c r="J27" s="3">
        <v>0</v>
      </c>
      <c r="K27" s="3">
        <v>0</v>
      </c>
      <c r="L27" s="3">
        <v>1</v>
      </c>
      <c r="M27" s="3">
        <v>0</v>
      </c>
      <c r="N27" s="3">
        <v>1</v>
      </c>
    </row>
    <row r="28" spans="1:14" x14ac:dyDescent="0.3">
      <c r="A28" s="3" t="s">
        <v>5</v>
      </c>
      <c r="B28" s="3" t="s">
        <v>32</v>
      </c>
      <c r="C28" s="3">
        <v>381</v>
      </c>
      <c r="D28" s="3" t="s">
        <v>25</v>
      </c>
      <c r="E28" s="3">
        <v>52584801.645000003</v>
      </c>
      <c r="F28" s="3">
        <v>14794.697</v>
      </c>
      <c r="G28" s="3">
        <v>15463.289000000001</v>
      </c>
      <c r="H28" s="3">
        <v>1756.8422458146099</v>
      </c>
      <c r="I28" s="3">
        <v>1</v>
      </c>
      <c r="J28" s="3">
        <v>0</v>
      </c>
      <c r="K28" s="3">
        <v>0</v>
      </c>
      <c r="L28" s="3">
        <v>0</v>
      </c>
      <c r="M28" s="3">
        <v>0</v>
      </c>
      <c r="N28" s="3">
        <v>1</v>
      </c>
    </row>
    <row r="29" spans="1:14" x14ac:dyDescent="0.3">
      <c r="A29" s="3" t="s">
        <v>5</v>
      </c>
      <c r="B29" s="3" t="s">
        <v>33</v>
      </c>
      <c r="C29" s="3">
        <v>382</v>
      </c>
      <c r="D29" s="3" t="s">
        <v>25</v>
      </c>
      <c r="E29" s="3">
        <v>23930.870289999999</v>
      </c>
      <c r="F29" s="3">
        <v>14794.697</v>
      </c>
      <c r="G29" s="3">
        <v>5711.1639999999998</v>
      </c>
      <c r="H29" s="3">
        <v>756.29413636589697</v>
      </c>
      <c r="I29" s="3">
        <v>1</v>
      </c>
      <c r="J29" s="3">
        <v>1</v>
      </c>
      <c r="K29" s="3">
        <v>0</v>
      </c>
      <c r="L29" s="3">
        <v>0</v>
      </c>
      <c r="M29" s="3">
        <v>0</v>
      </c>
      <c r="N29" s="3">
        <v>1</v>
      </c>
    </row>
    <row r="30" spans="1:14" x14ac:dyDescent="0.3">
      <c r="A30" s="3" t="s">
        <v>5</v>
      </c>
      <c r="B30" s="3" t="s">
        <v>34</v>
      </c>
      <c r="C30" s="3">
        <v>383</v>
      </c>
      <c r="D30" s="3" t="s">
        <v>25</v>
      </c>
      <c r="E30" s="3">
        <v>10939567.140068</v>
      </c>
      <c r="F30" s="3">
        <v>14794.697</v>
      </c>
      <c r="G30" s="3">
        <v>48830.171000000002</v>
      </c>
      <c r="H30" s="3">
        <v>3679.0162332679902</v>
      </c>
      <c r="I30" s="3">
        <v>1</v>
      </c>
      <c r="J30" s="3">
        <v>0</v>
      </c>
      <c r="K30" s="3">
        <v>0</v>
      </c>
      <c r="L30" s="3">
        <v>0</v>
      </c>
      <c r="M30" s="3">
        <v>0</v>
      </c>
      <c r="N30" s="3">
        <v>1</v>
      </c>
    </row>
    <row r="31" spans="1:14" x14ac:dyDescent="0.3">
      <c r="A31" s="3" t="s">
        <v>5</v>
      </c>
      <c r="B31" s="3" t="s">
        <v>35</v>
      </c>
      <c r="C31" s="3">
        <v>384</v>
      </c>
      <c r="D31" s="3" t="s">
        <v>25</v>
      </c>
      <c r="E31" s="3">
        <v>1188468.8849180001</v>
      </c>
      <c r="F31" s="3">
        <v>14794.697</v>
      </c>
      <c r="G31" s="3">
        <v>52648.186999999998</v>
      </c>
      <c r="H31" s="3">
        <v>2508.3121995399802</v>
      </c>
      <c r="I31" s="3">
        <v>1</v>
      </c>
      <c r="J31" s="3">
        <v>0</v>
      </c>
      <c r="K31" s="3">
        <v>0</v>
      </c>
      <c r="L31" s="3">
        <v>0</v>
      </c>
      <c r="M31" s="3">
        <v>0</v>
      </c>
      <c r="N31" s="3">
        <v>1</v>
      </c>
    </row>
    <row r="32" spans="1:14" x14ac:dyDescent="0.3">
      <c r="A32" s="3" t="s">
        <v>5</v>
      </c>
      <c r="B32" s="3" t="s">
        <v>6</v>
      </c>
      <c r="C32" s="3">
        <v>385</v>
      </c>
      <c r="D32" s="3" t="s">
        <v>25</v>
      </c>
      <c r="E32" s="3">
        <v>3798112.3509999998</v>
      </c>
      <c r="F32" s="3">
        <v>14794.697</v>
      </c>
      <c r="G32" s="3">
        <v>85812.176000000007</v>
      </c>
      <c r="H32" s="3">
        <v>7531.1729722250402</v>
      </c>
      <c r="I32" s="3">
        <v>1</v>
      </c>
      <c r="J32" s="3">
        <v>0</v>
      </c>
      <c r="K32" s="3">
        <v>0</v>
      </c>
      <c r="L32" s="3">
        <v>0</v>
      </c>
      <c r="M32" s="3">
        <v>0</v>
      </c>
      <c r="N32" s="3">
        <v>1</v>
      </c>
    </row>
  </sheetData>
  <sortState xmlns:xlrd2="http://schemas.microsoft.com/office/spreadsheetml/2017/richdata2" ref="A2:N32">
    <sortCondition ref="B1:B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расчёты</vt:lpstr>
      <vt:lpstr>расчёт по 2014 году</vt:lpstr>
      <vt:lpstr>итог расчёта</vt:lpstr>
      <vt:lpstr>для 8 модели</vt:lpstr>
      <vt:lpstr>Лист6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</dc:creator>
  <cp:lastModifiedBy>Ольга Сокол</cp:lastModifiedBy>
  <cp:lastPrinted>2025-05-28T16:02:06Z</cp:lastPrinted>
  <dcterms:created xsi:type="dcterms:W3CDTF">2024-10-11T07:48:34Z</dcterms:created>
  <dcterms:modified xsi:type="dcterms:W3CDTF">2025-06-18T11:51:32Z</dcterms:modified>
</cp:coreProperties>
</file>