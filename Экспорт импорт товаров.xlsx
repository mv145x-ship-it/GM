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75" windowHeight="9660"/>
  </bookViews>
  <sheets>
    <sheet name="структура (3)" sheetId="2" r:id="rId1"/>
  </sheets>
  <calcPr calcId="144525"/>
</workbook>
</file>

<file path=xl/calcChain.xml><?xml version="1.0" encoding="utf-8"?>
<calcChain xmlns="http://schemas.openxmlformats.org/spreadsheetml/2006/main">
  <c r="G17" i="2" l="1"/>
  <c r="D17" i="2"/>
  <c r="G16" i="2"/>
  <c r="D16" i="2"/>
  <c r="G15" i="2"/>
  <c r="D15" i="2"/>
  <c r="G14" i="2"/>
  <c r="D14" i="2"/>
  <c r="G13" i="2"/>
  <c r="D13" i="2"/>
  <c r="G12" i="2"/>
  <c r="D12" i="2"/>
  <c r="G11" i="2"/>
  <c r="D11" i="2"/>
  <c r="G10" i="2"/>
  <c r="D10" i="2"/>
  <c r="G8" i="2"/>
  <c r="D8" i="2"/>
</calcChain>
</file>

<file path=xl/sharedStrings.xml><?xml version="1.0" encoding="utf-8"?>
<sst xmlns="http://schemas.openxmlformats.org/spreadsheetml/2006/main" count="20" uniqueCount="17">
  <si>
    <t>Экспорт</t>
  </si>
  <si>
    <t>Импорт</t>
  </si>
  <si>
    <t>01-24-Продовольственные товары и сельскохозяйственное сырье (кроме текстильного)</t>
  </si>
  <si>
    <t>25-27-Минеральные продукты</t>
  </si>
  <si>
    <t>28-40-Продукция химической промышленности,каучук</t>
  </si>
  <si>
    <t>41-43-Кожевенное сырье,пушнина и изделия из них</t>
  </si>
  <si>
    <t>44-49-Древесина и целлюлозно-бумажные изделия</t>
  </si>
  <si>
    <t>50-67-Текстиль,текстильные изделия и обувь</t>
  </si>
  <si>
    <t>Экспорт и импорт товаров Российской Федерации
(млрд. долл. США)</t>
  </si>
  <si>
    <t>темп роста, %</t>
  </si>
  <si>
    <t>Всего</t>
  </si>
  <si>
    <t>в том числе:</t>
  </si>
  <si>
    <t>71-83-Металлы и изделия из них</t>
  </si>
  <si>
    <t>68-70, 84-97-Машины,оборудование и транспортные средства и другие торвары</t>
  </si>
  <si>
    <t>* При использовании информации в средствах массовой информации просьба указывать ссылку "По данным ФТС России, размещенным на официальном сайте ФТС России"</t>
  </si>
  <si>
    <t>Январь-декабрь 2023</t>
  </si>
  <si>
    <t>Январь-декабрь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</si>
</sst>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5" formatCode="_-* #,##0.0\ _₽_-;\-* #,##0.0\ _₽_-;_-* &quot;-&quot;??\ _₽_-;_-@_-"/>
  </numFmts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8"/>
      <color rgb="FF0000FF"/>
      <name val="Calibri"/>
      <family val="2"/>
      <charset val="204"/>
      <scheme val="minor"/>
    </font>
    <font>
      <u/>
      <sz val="8"/>
      <color rgb="FF80008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12"/>
      <color theme="1"/>
      <name val="Arial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0" fillId="0" borderId="0" xfId="0" applyFont="1"/>
    <xf numFmtId="0" fontId="23" fillId="0" borderId="0" xfId="0" applyFont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20" fillId="0" borderId="0" xfId="0" applyFont="1" applyBorder="1"/>
    <xf numFmtId="0" fontId="23" fillId="0" borderId="0" xfId="0" applyFont="1" applyBorder="1" applyAlignment="1">
      <alignment horizontal="center"/>
    </xf>
    <xf numFmtId="0" fontId="20" fillId="33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center" vertical="center" wrapText="1"/>
    </xf>
    <xf numFmtId="49" fontId="21" fillId="34" borderId="10" xfId="0" applyNumberFormat="1" applyFont="1" applyFill="1" applyBorder="1" applyAlignment="1">
      <alignment horizontal="left" vertical="center" wrapText="1"/>
    </xf>
    <xf numFmtId="17" fontId="21" fillId="34" borderId="10" xfId="0" applyNumberFormat="1" applyFont="1" applyFill="1" applyBorder="1" applyAlignment="1">
      <alignment horizontal="left" vertical="center" wrapText="1"/>
    </xf>
    <xf numFmtId="0" fontId="22" fillId="34" borderId="10" xfId="0" applyFont="1" applyFill="1" applyBorder="1" applyAlignment="1">
      <alignment horizontal="left" vertical="center" wrapText="1"/>
    </xf>
    <xf numFmtId="165" fontId="20" fillId="0" borderId="10" xfId="44" applyNumberFormat="1" applyFont="1" applyBorder="1"/>
    <xf numFmtId="0" fontId="0" fillId="0" borderId="0" xfId="0" applyAlignment="1">
      <alignment vertical="center"/>
    </xf>
  </cellXfs>
  <cellStyles count="45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ткрывавшаяся гиперссылка" xfId="43" builtinId="9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4" builtinId="3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9"/>
  <sheetViews>
    <sheetView showGridLines="0" tabSelected="1" workbookViewId="0">
      <selection activeCell="I9" sqref="I9"/>
    </sheetView>
  </sheetViews>
  <sheetFormatPr defaultRowHeight="11.25" x14ac:dyDescent="0.2"/>
  <cols>
    <col min="1" max="1" width="36.5703125" style="1" bestFit="1" customWidth="1"/>
    <col min="2" max="3" width="19.5703125" style="1" customWidth="1"/>
    <col min="4" max="4" width="11.85546875" style="1" bestFit="1" customWidth="1"/>
    <col min="5" max="6" width="19.5703125" style="1" customWidth="1"/>
    <col min="7" max="7" width="11.85546875" style="1" bestFit="1" customWidth="1"/>
    <col min="8" max="16384" width="9.140625" style="1"/>
  </cols>
  <sheetData>
    <row r="3" spans="1:7" s="4" customFormat="1" ht="15.75" customHeight="1" x14ac:dyDescent="0.2">
      <c r="A3" s="2" t="s">
        <v>8</v>
      </c>
      <c r="B3" s="3"/>
      <c r="C3" s="3"/>
      <c r="D3" s="3"/>
      <c r="E3" s="3"/>
      <c r="F3" s="3"/>
      <c r="G3" s="3"/>
    </row>
    <row r="4" spans="1:7" s="4" customFormat="1" ht="20.25" customHeight="1" x14ac:dyDescent="0.2">
      <c r="A4" s="3"/>
      <c r="B4" s="3"/>
      <c r="C4" s="3"/>
      <c r="D4" s="3"/>
      <c r="E4" s="3"/>
      <c r="F4" s="3"/>
      <c r="G4" s="3"/>
    </row>
    <row r="5" spans="1:7" ht="20.25" customHeight="1" x14ac:dyDescent="0.25">
      <c r="A5" s="5"/>
      <c r="B5" s="5"/>
      <c r="C5" s="5"/>
      <c r="D5" s="5"/>
      <c r="E5" s="5"/>
      <c r="F5" s="5"/>
      <c r="G5" s="5"/>
    </row>
    <row r="6" spans="1:7" ht="23.25" customHeight="1" x14ac:dyDescent="0.2">
      <c r="A6" s="6"/>
      <c r="B6" s="7" t="s">
        <v>0</v>
      </c>
      <c r="C6" s="7"/>
      <c r="D6" s="7"/>
      <c r="E6" s="7" t="s">
        <v>1</v>
      </c>
      <c r="F6" s="7"/>
      <c r="G6" s="7"/>
    </row>
    <row r="7" spans="1:7" ht="23.25" customHeight="1" x14ac:dyDescent="0.2">
      <c r="A7" s="6"/>
      <c r="B7" s="8" t="s">
        <v>15</v>
      </c>
      <c r="C7" s="8" t="s">
        <v>16</v>
      </c>
      <c r="D7" s="9" t="s">
        <v>9</v>
      </c>
      <c r="E7" s="8" t="s">
        <v>15</v>
      </c>
      <c r="F7" s="8" t="s">
        <v>16</v>
      </c>
      <c r="G7" s="9" t="s">
        <v>9</v>
      </c>
    </row>
    <row r="8" spans="1:7" x14ac:dyDescent="0.2">
      <c r="A8" s="10" t="s">
        <v>10</v>
      </c>
      <c r="B8" s="11">
        <v>425.28949999999998</v>
      </c>
      <c r="C8" s="11">
        <v>433.92379999999997</v>
      </c>
      <c r="D8" s="11">
        <f>C8/B8*100</f>
        <v>102.03021706390587</v>
      </c>
      <c r="E8" s="11">
        <v>285.27800000000002</v>
      </c>
      <c r="F8" s="11">
        <v>283.00309999999996</v>
      </c>
      <c r="G8" s="11">
        <f>F8/E8*100</f>
        <v>99.202567320298073</v>
      </c>
    </row>
    <row r="9" spans="1:7" x14ac:dyDescent="0.2">
      <c r="A9" s="10" t="s">
        <v>11</v>
      </c>
      <c r="B9" s="11"/>
      <c r="C9" s="11"/>
      <c r="D9" s="11"/>
      <c r="E9" s="11"/>
      <c r="F9" s="11"/>
      <c r="G9" s="11"/>
    </row>
    <row r="10" spans="1:7" ht="33.75" x14ac:dyDescent="0.2">
      <c r="A10" s="10" t="s">
        <v>2</v>
      </c>
      <c r="B10" s="11">
        <v>43.087600000000002</v>
      </c>
      <c r="C10" s="11">
        <v>42.628500000000003</v>
      </c>
      <c r="D10" s="11">
        <f>C10/B10*100</f>
        <v>98.934496235575892</v>
      </c>
      <c r="E10" s="11">
        <v>35.229999999999997</v>
      </c>
      <c r="F10" s="11">
        <v>37.701500000000003</v>
      </c>
      <c r="G10" s="11">
        <f>F10/E10*100</f>
        <v>107.01532784558616</v>
      </c>
    </row>
    <row r="11" spans="1:7" x14ac:dyDescent="0.2">
      <c r="A11" s="10" t="s">
        <v>3</v>
      </c>
      <c r="B11" s="11">
        <v>260.41730000000001</v>
      </c>
      <c r="C11" s="11">
        <v>264.08150000000001</v>
      </c>
      <c r="D11" s="11">
        <f t="shared" ref="D11:D17" si="0">C11/B11*100</f>
        <v>101.40704937805592</v>
      </c>
      <c r="E11" s="11">
        <v>5.5656999999999996</v>
      </c>
      <c r="F11" s="11">
        <v>4.4793000000000003</v>
      </c>
      <c r="G11" s="11">
        <f t="shared" ref="G11:G16" si="1">F11/E11*100</f>
        <v>80.480442711608617</v>
      </c>
    </row>
    <row r="12" spans="1:7" ht="22.5" x14ac:dyDescent="0.2">
      <c r="A12" s="10" t="s">
        <v>4</v>
      </c>
      <c r="B12" s="11">
        <v>27.239799999999999</v>
      </c>
      <c r="C12" s="11">
        <v>27.593299999999999</v>
      </c>
      <c r="D12" s="11">
        <f t="shared" si="0"/>
        <v>101.29773346353497</v>
      </c>
      <c r="E12" s="11">
        <v>55.722699999999996</v>
      </c>
      <c r="F12" s="11">
        <v>53.466500000000003</v>
      </c>
      <c r="G12" s="11">
        <f t="shared" si="1"/>
        <v>95.951021755945078</v>
      </c>
    </row>
    <row r="13" spans="1:7" ht="22.5" x14ac:dyDescent="0.2">
      <c r="A13" s="10" t="s">
        <v>5</v>
      </c>
      <c r="B13" s="11">
        <v>0.14050000000000001</v>
      </c>
      <c r="C13" s="11">
        <v>0.19</v>
      </c>
      <c r="D13" s="11">
        <f t="shared" si="0"/>
        <v>135.23131672597864</v>
      </c>
      <c r="E13" s="11">
        <v>1.1995</v>
      </c>
      <c r="F13" s="11">
        <v>1.0207999999999999</v>
      </c>
      <c r="G13" s="11">
        <f t="shared" si="1"/>
        <v>85.102125885785739</v>
      </c>
    </row>
    <row r="14" spans="1:7" ht="22.5" x14ac:dyDescent="0.2">
      <c r="A14" s="10" t="s">
        <v>6</v>
      </c>
      <c r="B14" s="11">
        <v>9.8571000000000009</v>
      </c>
      <c r="C14" s="11">
        <v>10.1149</v>
      </c>
      <c r="D14" s="11">
        <f t="shared" si="0"/>
        <v>102.61537369003054</v>
      </c>
      <c r="E14" s="11">
        <v>3.3633999999999999</v>
      </c>
      <c r="F14" s="11">
        <v>3.2049000000000003</v>
      </c>
      <c r="G14" s="11">
        <f t="shared" si="1"/>
        <v>95.287506689659281</v>
      </c>
    </row>
    <row r="15" spans="1:7" x14ac:dyDescent="0.2">
      <c r="A15" s="10" t="s">
        <v>7</v>
      </c>
      <c r="B15" s="11">
        <v>1.7472999999999999</v>
      </c>
      <c r="C15" s="11">
        <v>2.3001</v>
      </c>
      <c r="D15" s="11">
        <f t="shared" si="0"/>
        <v>131.63738339151837</v>
      </c>
      <c r="E15" s="11">
        <v>19.156299999999998</v>
      </c>
      <c r="F15" s="11">
        <v>18.0947</v>
      </c>
      <c r="G15" s="11">
        <f t="shared" si="1"/>
        <v>94.458220011171264</v>
      </c>
    </row>
    <row r="16" spans="1:7" x14ac:dyDescent="0.2">
      <c r="A16" s="10" t="s">
        <v>12</v>
      </c>
      <c r="B16" s="11">
        <v>60.028800000000004</v>
      </c>
      <c r="C16" s="11">
        <v>63.6524</v>
      </c>
      <c r="D16" s="11">
        <f t="shared" si="0"/>
        <v>106.03643584412814</v>
      </c>
      <c r="E16" s="11">
        <v>19.218</v>
      </c>
      <c r="F16" s="11">
        <v>17.9392</v>
      </c>
      <c r="G16" s="11">
        <f t="shared" si="1"/>
        <v>93.345821625559367</v>
      </c>
    </row>
    <row r="17" spans="1:7" ht="22.5" x14ac:dyDescent="0.2">
      <c r="A17" s="10" t="s">
        <v>13</v>
      </c>
      <c r="B17" s="11">
        <v>22.771199999999997</v>
      </c>
      <c r="C17" s="11">
        <v>23.363100000000003</v>
      </c>
      <c r="D17" s="11">
        <f t="shared" si="0"/>
        <v>102.5993360033727</v>
      </c>
      <c r="E17" s="11">
        <v>145.8219</v>
      </c>
      <c r="F17" s="11">
        <v>147.09609999999998</v>
      </c>
      <c r="G17" s="11">
        <f>F17/E17*100</f>
        <v>100.87380564922002</v>
      </c>
    </row>
    <row r="19" spans="1:7" ht="15" x14ac:dyDescent="0.2">
      <c r="A19" s="12" t="s">
        <v>14</v>
      </c>
    </row>
  </sheetData>
  <mergeCells count="4">
    <mergeCell ref="A3:G4"/>
    <mergeCell ref="A6:A7"/>
    <mergeCell ref="B6:D6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структура (3)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структура</dc:title>
  <dc:creator>Родимова Татьяна Юрьевна</dc:creator>
  <cp:lastModifiedBy>Андреева Татьяна Юрьевна</cp:lastModifiedBy>
  <dcterms:created xsi:type="dcterms:W3CDTF">2025-02-19T08:54:30Z</dcterms:created>
  <dcterms:modified xsi:type="dcterms:W3CDTF">2025-02-19T09:45:15Z</dcterms:modified>
</cp:coreProperties>
</file>