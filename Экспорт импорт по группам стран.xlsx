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A4EEBE-5E10-4336-B796-6B96244F1DC8}" xr6:coauthVersionLast="47" xr6:coauthVersionMax="47" xr10:uidLastSave="{00000000-0000-0000-0000-000000000000}"/>
  <bookViews>
    <workbookView xWindow="0" yWindow="876" windowWidth="23040" windowHeight="8376" xr2:uid="{00000000-000D-0000-FFFF-FFFF00000000}"/>
  </bookViews>
  <sheets>
    <sheet name="страны" sheetId="2" r:id="rId1"/>
  </sheets>
  <calcPr calcId="191029"/>
</workbook>
</file>

<file path=xl/calcChain.xml><?xml version="1.0" encoding="utf-8"?>
<calcChain xmlns="http://schemas.openxmlformats.org/spreadsheetml/2006/main">
  <c r="G13" i="2" l="1"/>
  <c r="D13" i="2"/>
  <c r="G12" i="2"/>
  <c r="D12" i="2"/>
  <c r="G11" i="2"/>
  <c r="D11" i="2"/>
  <c r="G10" i="2"/>
  <c r="D10" i="2"/>
  <c r="G9" i="2"/>
  <c r="D9" i="2"/>
  <c r="G7" i="2"/>
  <c r="D7" i="2"/>
</calcChain>
</file>

<file path=xl/sharedStrings.xml><?xml version="1.0" encoding="utf-8"?>
<sst xmlns="http://schemas.openxmlformats.org/spreadsheetml/2006/main" count="17" uniqueCount="14">
  <si>
    <t>Экспорт</t>
  </si>
  <si>
    <t>Импорт</t>
  </si>
  <si>
    <t>Экспорт и импорт товаров Российской Федерации по группам стран
(млрд. долл. США)</t>
  </si>
  <si>
    <t>темп роста, %</t>
  </si>
  <si>
    <t>Весь мир</t>
  </si>
  <si>
    <t>в том числе:</t>
  </si>
  <si>
    <t>ОКЕАНИЯ</t>
  </si>
  <si>
    <t>* При использовании информации в средствах массовой информации просьба указывать ссылку "По данным ФТС России, размещенным на официальном сайте ФТС России"</t>
  </si>
  <si>
    <t>Январь-декабрь 2023</t>
  </si>
  <si>
    <t>Январь-декабрь 2024</t>
  </si>
  <si>
    <t>Европа</t>
  </si>
  <si>
    <t>Азия</t>
  </si>
  <si>
    <t>Африка</t>
  </si>
  <si>
    <t>Америка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</si>
</sst>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\ _₽_-;\-* #,##0.0\ _₽_-;_-* &quot;-&quot;??\ _₽_-;_-@_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8"/>
      <color rgb="FF0000FF"/>
      <name val="Calibri"/>
      <family val="2"/>
      <charset val="204"/>
      <scheme val="minor"/>
    </font>
    <font>
      <u/>
      <sz val="8"/>
      <color rgb="FF80008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0" fillId="0" borderId="0" xfId="0" applyFont="1"/>
    <xf numFmtId="0" fontId="23" fillId="0" borderId="0" xfId="0" applyFont="1" applyAlignment="1">
      <alignment horizontal="center"/>
    </xf>
    <xf numFmtId="49" fontId="21" fillId="34" borderId="10" xfId="0" applyNumberFormat="1" applyFont="1" applyFill="1" applyBorder="1" applyAlignment="1">
      <alignment horizontal="left" vertical="center" wrapText="1"/>
    </xf>
    <xf numFmtId="17" fontId="21" fillId="34" borderId="10" xfId="0" applyNumberFormat="1" applyFont="1" applyFill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165" fontId="20" fillId="0" borderId="10" xfId="44" applyNumberFormat="1" applyFont="1" applyBorder="1"/>
    <xf numFmtId="0" fontId="0" fillId="0" borderId="0" xfId="0" applyAlignment="1">
      <alignment vertic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0" fillId="33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center"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"/>
  <sheetViews>
    <sheetView showGridLines="0" tabSelected="1" topLeftCell="A7" workbookViewId="0">
      <selection activeCell="F12" sqref="F9:F12"/>
    </sheetView>
  </sheetViews>
  <sheetFormatPr defaultColWidth="9.109375" defaultRowHeight="10.199999999999999" x14ac:dyDescent="0.2"/>
  <cols>
    <col min="1" max="1" width="20.109375" style="1" bestFit="1" customWidth="1"/>
    <col min="2" max="3" width="18" style="1" bestFit="1" customWidth="1"/>
    <col min="4" max="4" width="11.88671875" style="1" bestFit="1" customWidth="1"/>
    <col min="5" max="6" width="18" style="1" bestFit="1" customWidth="1"/>
    <col min="7" max="7" width="11.88671875" style="1" bestFit="1" customWidth="1"/>
    <col min="8" max="16384" width="9.109375" style="1"/>
  </cols>
  <sheetData>
    <row r="2" spans="1:7" ht="44.25" customHeight="1" x14ac:dyDescent="0.2">
      <c r="A2" s="8" t="s">
        <v>2</v>
      </c>
      <c r="B2" s="9"/>
      <c r="C2" s="9"/>
      <c r="D2" s="9"/>
      <c r="E2" s="9"/>
      <c r="F2" s="9"/>
    </row>
    <row r="3" spans="1:7" x14ac:dyDescent="0.2">
      <c r="A3" s="9"/>
      <c r="B3" s="9"/>
      <c r="C3" s="9"/>
      <c r="D3" s="9"/>
      <c r="E3" s="9"/>
      <c r="F3" s="9"/>
    </row>
    <row r="4" spans="1:7" ht="15.6" x14ac:dyDescent="0.3">
      <c r="A4" s="2"/>
      <c r="B4" s="2"/>
      <c r="C4" s="2"/>
      <c r="D4" s="2"/>
      <c r="E4" s="2"/>
      <c r="F4" s="2"/>
      <c r="G4" s="2"/>
    </row>
    <row r="5" spans="1:7" x14ac:dyDescent="0.2">
      <c r="A5" s="10"/>
      <c r="B5" s="11" t="s">
        <v>0</v>
      </c>
      <c r="C5" s="11"/>
      <c r="D5" s="11"/>
      <c r="E5" s="11" t="s">
        <v>1</v>
      </c>
      <c r="F5" s="11"/>
      <c r="G5" s="11"/>
    </row>
    <row r="6" spans="1:7" ht="21.75" customHeight="1" x14ac:dyDescent="0.2">
      <c r="A6" s="10"/>
      <c r="B6" s="3" t="s">
        <v>8</v>
      </c>
      <c r="C6" s="3" t="s">
        <v>9</v>
      </c>
      <c r="D6" s="4" t="s">
        <v>3</v>
      </c>
      <c r="E6" s="3" t="s">
        <v>8</v>
      </c>
      <c r="F6" s="3" t="s">
        <v>9</v>
      </c>
      <c r="G6" s="4" t="s">
        <v>3</v>
      </c>
    </row>
    <row r="7" spans="1:7" x14ac:dyDescent="0.2">
      <c r="A7" s="5" t="s">
        <v>4</v>
      </c>
      <c r="B7" s="6">
        <v>425.28949999999998</v>
      </c>
      <c r="C7" s="6">
        <v>433.92379999999997</v>
      </c>
      <c r="D7" s="6">
        <f>C7/B7*100</f>
        <v>102.03021706390587</v>
      </c>
      <c r="E7" s="6">
        <v>285.27800000000002</v>
      </c>
      <c r="F7" s="6">
        <v>283.00309999999996</v>
      </c>
      <c r="G7" s="6">
        <f>F7/E7*100</f>
        <v>99.202567320298073</v>
      </c>
    </row>
    <row r="8" spans="1:7" x14ac:dyDescent="0.2">
      <c r="A8" s="5" t="s">
        <v>5</v>
      </c>
      <c r="B8" s="6"/>
      <c r="C8" s="6"/>
      <c r="D8" s="6">
        <v>0</v>
      </c>
      <c r="E8" s="6"/>
      <c r="F8" s="6"/>
      <c r="G8" s="6">
        <v>0</v>
      </c>
    </row>
    <row r="9" spans="1:7" x14ac:dyDescent="0.2">
      <c r="A9" s="5" t="s">
        <v>10</v>
      </c>
      <c r="B9" s="6">
        <v>85.897199999999998</v>
      </c>
      <c r="C9" s="6">
        <v>68.393600000000006</v>
      </c>
      <c r="D9" s="6">
        <f t="shared" ref="D9:D13" si="0">C9/B9*100</f>
        <v>79.622618665102024</v>
      </c>
      <c r="E9" s="6">
        <v>78.531300000000002</v>
      </c>
      <c r="F9" s="6">
        <v>73.074100000000001</v>
      </c>
      <c r="G9" s="6">
        <f t="shared" ref="G9:G13" si="1">F9/E9*100</f>
        <v>93.050923644457683</v>
      </c>
    </row>
    <row r="10" spans="1:7" x14ac:dyDescent="0.2">
      <c r="A10" s="5" t="s">
        <v>11</v>
      </c>
      <c r="B10" s="6">
        <v>306.02449999999999</v>
      </c>
      <c r="C10" s="6">
        <v>329.20359999999999</v>
      </c>
      <c r="D10" s="6">
        <f t="shared" si="0"/>
        <v>107.57426284496829</v>
      </c>
      <c r="E10" s="6">
        <v>187.64270000000002</v>
      </c>
      <c r="F10" s="6">
        <v>191.17679999999999</v>
      </c>
      <c r="G10" s="6">
        <f t="shared" si="1"/>
        <v>101.88341992520891</v>
      </c>
    </row>
    <row r="11" spans="1:7" x14ac:dyDescent="0.2">
      <c r="A11" s="5" t="s">
        <v>12</v>
      </c>
      <c r="B11" s="6">
        <v>21.152699999999999</v>
      </c>
      <c r="C11" s="6">
        <v>24.2637</v>
      </c>
      <c r="D11" s="6">
        <f t="shared" si="0"/>
        <v>114.70734232509325</v>
      </c>
      <c r="E11" s="6">
        <v>3.3553999999999999</v>
      </c>
      <c r="F11" s="6">
        <v>3.4713000000000003</v>
      </c>
      <c r="G11" s="6">
        <f t="shared" si="1"/>
        <v>103.45413363533409</v>
      </c>
    </row>
    <row r="12" spans="1:7" x14ac:dyDescent="0.2">
      <c r="A12" s="5" t="s">
        <v>13</v>
      </c>
      <c r="B12" s="6">
        <v>12.0801</v>
      </c>
      <c r="C12" s="6">
        <v>11.8805</v>
      </c>
      <c r="D12" s="6">
        <f t="shared" si="0"/>
        <v>98.347695797220226</v>
      </c>
      <c r="E12" s="6">
        <v>15.031000000000001</v>
      </c>
      <c r="F12" s="6">
        <v>14.7578</v>
      </c>
      <c r="G12" s="6">
        <f t="shared" si="1"/>
        <v>98.182422992482202</v>
      </c>
    </row>
    <row r="13" spans="1:7" x14ac:dyDescent="0.2">
      <c r="A13" s="5" t="s">
        <v>6</v>
      </c>
      <c r="B13" s="6">
        <v>7.1999999999999998E-3</v>
      </c>
      <c r="C13" s="6">
        <v>5.5999999999999999E-3</v>
      </c>
      <c r="D13" s="6">
        <f t="shared" si="0"/>
        <v>77.777777777777786</v>
      </c>
      <c r="E13" s="6">
        <v>0.1661</v>
      </c>
      <c r="F13" s="6">
        <v>0.1225</v>
      </c>
      <c r="G13" s="6">
        <f t="shared" si="1"/>
        <v>73.750752558699588</v>
      </c>
    </row>
    <row r="15" spans="1:7" ht="14.4" x14ac:dyDescent="0.2">
      <c r="A15" s="7" t="s">
        <v>7</v>
      </c>
    </row>
  </sheetData>
  <mergeCells count="4">
    <mergeCell ref="A2:F3"/>
    <mergeCell ref="A5:A6"/>
    <mergeCell ref="B5:D5"/>
    <mergeCell ref="E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страны</dc:title>
  <dc:creator>Родимова Татьяна Юрьевна</dc:creator>
  <cp:lastModifiedBy>Ольга Сокол</cp:lastModifiedBy>
  <dcterms:created xsi:type="dcterms:W3CDTF">2025-02-19T08:48:14Z</dcterms:created>
  <dcterms:modified xsi:type="dcterms:W3CDTF">2025-06-18T11:39:20Z</dcterms:modified>
</cp:coreProperties>
</file>